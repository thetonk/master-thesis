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fer learning per dataset" sheetId="1" state="visible" r:id="rId3"/>
    <sheet name="Datase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<sst xmlns="http://schemas.openxmlformats.org/spreadsheetml/2006/main" count="184" uniqueCount="35">
  <si>
    <t xml:space="preserve">Zero shot network specific features</t>
  </si>
  <si>
    <t xml:space="preserve">Transformer, network specific features (Few shot 1000 samples) (%)</t>
  </si>
  <si>
    <t xml:space="preserve">Transformer</t>
  </si>
  <si>
    <t xml:space="preserve">LSTM</t>
  </si>
  <si>
    <t xml:space="preserve">Dataset</t>
  </si>
  <si>
    <t xml:space="preserve">Zero shot</t>
  </si>
  <si>
    <t xml:space="preserve">Few shot</t>
  </si>
  <si>
    <t xml:space="preserve">% Increase</t>
  </si>
  <si>
    <t xml:space="preserve">A</t>
  </si>
  <si>
    <t xml:space="preserve">P</t>
  </si>
  <si>
    <t xml:space="preserve">R</t>
  </si>
  <si>
    <t xml:space="preserve">F1</t>
  </si>
  <si>
    <t xml:space="preserve">iotid20</t>
  </si>
  <si>
    <t xml:space="preserve">usfc-tfc-2016</t>
  </si>
  <si>
    <t xml:space="preserve">IoT-DS2</t>
  </si>
  <si>
    <t xml:space="preserve">CIC-USNW-NB15</t>
  </si>
  <si>
    <t xml:space="preserve">mqtt-iot-ids2020</t>
  </si>
  <si>
    <t xml:space="preserve">ids-2018</t>
  </si>
  <si>
    <t xml:space="preserve">IoT-23</t>
  </si>
  <si>
    <t xml:space="preserve">Average:</t>
  </si>
  <si>
    <t xml:space="preserve">Few shot 1000 samples network specific features</t>
  </si>
  <si>
    <t xml:space="preserve">LSTM, network specific features (Few shot 1000 samples) (%)</t>
  </si>
  <si>
    <t xml:space="preserve">Zero shot without network specific features</t>
  </si>
  <si>
    <t xml:space="preserve">Transformer, without network specific features (Few shot 1000 samples) (%)</t>
  </si>
  <si>
    <t xml:space="preserve">Few shot 1000 samples without network specific features</t>
  </si>
  <si>
    <t xml:space="preserve">LSTM, without network specific features (Few shot 1000 samples) (%)</t>
  </si>
  <si>
    <t xml:space="preserve">Ποσοστά καθαρών/κακόβουλων ανά Dataset</t>
  </si>
  <si>
    <t xml:space="preserve">Καθαρά (%)</t>
  </si>
  <si>
    <t xml:space="preserve">Κακόβουλα (%)</t>
  </si>
  <si>
    <t xml:space="preserve">Πλήθος δειγμάτων</t>
  </si>
  <si>
    <t xml:space="preserve">Iotid-20</t>
  </si>
  <si>
    <t xml:space="preserve">MQTT-IDS-2020</t>
  </si>
  <si>
    <t xml:space="preserve">CIC-UNSW-NB15</t>
  </si>
  <si>
    <t xml:space="preserve">IDS-2018</t>
  </si>
  <si>
    <t xml:space="preserve">USFC-TFC-2016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</si>
</sst>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"/>
    <numFmt numFmtId="167" formatCode="0.00"/>
    <numFmt numFmtId="168" formatCode="#,##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3" min="2" style="1" width="6.96"/>
    <col collapsed="false" customWidth="true" hidden="false" outlineLevel="0" max="4" min="4" style="1" width="6.68"/>
    <col collapsed="false" customWidth="true" hidden="false" outlineLevel="0" max="5" min="5" style="1" width="6.96"/>
    <col collapsed="false" customWidth="true" hidden="false" outlineLevel="0" max="6" min="6" style="1" width="6.53"/>
    <col collapsed="false" customWidth="true" hidden="false" outlineLevel="0" max="7" min="7" style="1" width="6.68"/>
    <col collapsed="false" customWidth="true" hidden="false" outlineLevel="0" max="8" min="8" style="1" width="5.28"/>
    <col collapsed="false" customWidth="true" hidden="false" outlineLevel="0" max="9" min="9" style="1" width="8.21"/>
    <col collapsed="false" customWidth="true" hidden="false" outlineLevel="0" max="11" min="10" style="1" width="18.49"/>
    <col collapsed="false" customWidth="true" hidden="false" outlineLevel="0" max="12" min="12" style="1" width="6.68"/>
    <col collapsed="false" customWidth="true" hidden="false" outlineLevel="0" max="13" min="13" style="1" width="6.39"/>
    <col collapsed="false" customWidth="true" hidden="false" outlineLevel="0" max="14" min="14" style="1" width="7.5"/>
    <col collapsed="false" customWidth="true" hidden="false" outlineLevel="0" max="15" min="15" style="1" width="5.98"/>
    <col collapsed="false" customWidth="true" hidden="false" outlineLevel="0" max="16" min="16" style="1" width="5.71"/>
    <col collapsed="false" customWidth="true" hidden="false" outlineLevel="0" max="17" min="17" style="1" width="5.42"/>
    <col collapsed="false" customWidth="true" hidden="false" outlineLevel="0" max="18" min="18" style="1" width="7.09"/>
    <col collapsed="false" customWidth="true" hidden="false" outlineLevel="0" max="19" min="19" style="1" width="5.28"/>
    <col collapsed="false" customWidth="true" hidden="false" outlineLevel="0" max="20" min="20" style="1" width="6.39"/>
    <col collapsed="false" customWidth="true" hidden="false" outlineLevel="0" max="21" min="21" style="1" width="6.81"/>
    <col collapsed="false" customWidth="true" hidden="false" outlineLevel="0" max="22" min="22" style="1" width="7.23"/>
    <col collapsed="false" customWidth="true" hidden="false" outlineLevel="0" max="23" min="23" style="1" width="7.09"/>
    <col collapsed="false" customWidth="true" hidden="false" outlineLevel="0" max="24" min="24" style="1" width="7.65"/>
    <col collapsed="false" customWidth="true" hidden="false" outlineLevel="0" max="25" min="25" style="1" width="9.87"/>
    <col collapsed="false" customWidth="true" hidden="false" outlineLevel="0" max="26" min="26" style="1" width="6.25"/>
    <col collapsed="false" customWidth="true" hidden="false" outlineLevel="0" max="27" min="27" style="1" width="4.87"/>
    <col collapsed="false" customWidth="true" hidden="false" outlineLevel="0" max="28" min="28" style="1" width="5.42"/>
    <col collapsed="false" customWidth="true" hidden="false" outlineLevel="0" max="29" min="29" style="1" width="4.31"/>
    <col collapsed="false" customWidth="true" hidden="false" outlineLevel="0" max="30" min="30" style="1" width="6.53"/>
    <col collapsed="false" customWidth="true" hidden="false" outlineLevel="0" max="31" min="31" style="1" width="6.12"/>
    <col collapsed="false" customWidth="true" hidden="false" outlineLevel="0" max="32" min="32" style="1" width="5.84"/>
    <col collapsed="false" customWidth="true" hidden="false" outlineLevel="0" max="33" min="33" style="1" width="6.68"/>
    <col collapsed="false" customWidth="true" hidden="false" outlineLevel="0" max="34" min="34" style="1" width="6.39"/>
    <col collapsed="false" customWidth="true" hidden="false" outlineLevel="0" max="35" min="35" style="1" width="6.96"/>
    <col collapsed="false" customWidth="true" hidden="false" outlineLevel="0" max="36" min="36" style="1" width="5.71"/>
    <col collapsed="false" customWidth="true" hidden="false" outlineLevel="0" max="37" min="37" style="1" width="5.28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K1" s="2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2.8" hidden="false" customHeight="false" outlineLevel="0" collapsed="false">
      <c r="A2" s="3"/>
      <c r="B2" s="4" t="s">
        <v>2</v>
      </c>
      <c r="C2" s="4"/>
      <c r="D2" s="4"/>
      <c r="E2" s="4"/>
      <c r="F2" s="4" t="s">
        <v>3</v>
      </c>
      <c r="G2" s="4"/>
      <c r="H2" s="4"/>
      <c r="I2" s="4"/>
      <c r="K2" s="2" t="s">
        <v>4</v>
      </c>
      <c r="L2" s="5" t="s">
        <v>5</v>
      </c>
      <c r="M2" s="5"/>
      <c r="N2" s="5"/>
      <c r="O2" s="5"/>
      <c r="P2" s="5" t="s">
        <v>6</v>
      </c>
      <c r="Q2" s="5"/>
      <c r="R2" s="5"/>
      <c r="S2" s="5"/>
      <c r="T2" s="5" t="s">
        <v>7</v>
      </c>
      <c r="U2" s="5"/>
      <c r="V2" s="5"/>
      <c r="W2" s="5"/>
    </row>
    <row r="3" customFormat="false" ht="12.8" hidden="false" customHeight="false" outlineLevel="0" collapsed="false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8</v>
      </c>
      <c r="G3" s="3" t="s">
        <v>9</v>
      </c>
      <c r="H3" s="3" t="s">
        <v>10</v>
      </c>
      <c r="I3" s="3" t="s">
        <v>11</v>
      </c>
      <c r="K3" s="2"/>
      <c r="L3" s="6" t="s">
        <v>8</v>
      </c>
      <c r="M3" s="6" t="s">
        <v>9</v>
      </c>
      <c r="N3" s="6" t="s">
        <v>10</v>
      </c>
      <c r="O3" s="6" t="s">
        <v>11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8</v>
      </c>
      <c r="U3" s="6" t="s">
        <v>9</v>
      </c>
      <c r="V3" s="6" t="s">
        <v>10</v>
      </c>
      <c r="W3" s="6" t="s">
        <v>11</v>
      </c>
    </row>
    <row r="4" customFormat="false" ht="12.8" hidden="false" customHeight="false" outlineLevel="0" collapsed="false">
      <c r="A4" s="7" t="s">
        <v>12</v>
      </c>
      <c r="B4" s="7" t="n">
        <v>0.442512</v>
      </c>
      <c r="C4" s="7" t="n">
        <v>0.36209</v>
      </c>
      <c r="D4" s="3" t="n">
        <v>0.318696</v>
      </c>
      <c r="E4" s="7" t="n">
        <v>0.332105</v>
      </c>
      <c r="F4" s="7" t="n">
        <v>0.480277</v>
      </c>
      <c r="G4" s="7" t="n">
        <v>0.129702</v>
      </c>
      <c r="H4" s="3" t="n">
        <v>0.004799</v>
      </c>
      <c r="I4" s="7" t="n">
        <v>0.00909</v>
      </c>
      <c r="K4" s="6" t="s">
        <v>12</v>
      </c>
      <c r="L4" s="8" t="n">
        <f aca="false">B4*100</f>
        <v>44.2512</v>
      </c>
      <c r="M4" s="8" t="n">
        <f aca="false">C4*100</f>
        <v>36.209</v>
      </c>
      <c r="N4" s="8" t="n">
        <f aca="false">D4*100</f>
        <v>31.8696</v>
      </c>
      <c r="O4" s="8" t="n">
        <f aca="false">E4*100</f>
        <v>33.2105</v>
      </c>
      <c r="P4" s="8" t="n">
        <f aca="false">B15*100</f>
        <v>46.2054</v>
      </c>
      <c r="Q4" s="8" t="n">
        <f aca="false">C15*100</f>
        <v>37.5981</v>
      </c>
      <c r="R4" s="8" t="n">
        <f aca="false">D15*100</f>
        <v>32.6787</v>
      </c>
      <c r="S4" s="8" t="n">
        <f aca="false">E15*100</f>
        <v>34.0962</v>
      </c>
      <c r="T4" s="8" t="n">
        <f aca="false">(P4-L4)/L4*100</f>
        <v>4.416151426402</v>
      </c>
      <c r="U4" s="8" t="n">
        <f aca="false">(Q4-M4)/M4*100</f>
        <v>3.83633903173244</v>
      </c>
      <c r="V4" s="8" t="n">
        <f aca="false">(R4-N4)/N4*100</f>
        <v>2.53878304089164</v>
      </c>
      <c r="W4" s="8" t="n">
        <f aca="false">(S4-O4)/O4*100</f>
        <v>2.66692762831032</v>
      </c>
    </row>
    <row r="5" customFormat="false" ht="12.8" hidden="false" customHeight="false" outlineLevel="0" collapsed="false">
      <c r="A5" s="7" t="s">
        <v>13</v>
      </c>
      <c r="B5" s="7" t="n">
        <v>0.348997</v>
      </c>
      <c r="C5" s="7" t="n">
        <v>0.319361</v>
      </c>
      <c r="D5" s="3" t="n">
        <v>0.258183</v>
      </c>
      <c r="E5" s="9" t="n">
        <v>0.281223</v>
      </c>
      <c r="F5" s="7" t="n">
        <v>0.681152</v>
      </c>
      <c r="G5" s="7" t="n">
        <v>0.624577</v>
      </c>
      <c r="H5" s="3" t="n">
        <v>0.931361</v>
      </c>
      <c r="I5" s="9" t="n">
        <v>0.745575</v>
      </c>
      <c r="K5" s="6" t="s">
        <v>13</v>
      </c>
      <c r="L5" s="8" t="n">
        <f aca="false">B5*100</f>
        <v>34.8997</v>
      </c>
      <c r="M5" s="8" t="n">
        <f aca="false">C5*100</f>
        <v>31.9361</v>
      </c>
      <c r="N5" s="8" t="n">
        <f aca="false">D5*100</f>
        <v>25.8183</v>
      </c>
      <c r="O5" s="8" t="n">
        <f aca="false">E5*100</f>
        <v>28.1223</v>
      </c>
      <c r="P5" s="8" t="n">
        <f aca="false">B16*100</f>
        <v>50.6843</v>
      </c>
      <c r="Q5" s="8" t="n">
        <f aca="false">C16*100</f>
        <v>50.2745</v>
      </c>
      <c r="R5" s="8" t="n">
        <f aca="false">D16*100</f>
        <v>51.9303</v>
      </c>
      <c r="S5" s="8" t="n">
        <f aca="false">E16*100</f>
        <v>50.5459</v>
      </c>
      <c r="T5" s="8" t="n">
        <f aca="false">(P5-L5)/L5*100</f>
        <v>45.2284690126276</v>
      </c>
      <c r="U5" s="8" t="n">
        <f aca="false">(Q5-M5)/M5*100</f>
        <v>57.4221648855058</v>
      </c>
      <c r="V5" s="8" t="n">
        <f aca="false">(R5-N5)/N5*100</f>
        <v>101.13756521537</v>
      </c>
      <c r="W5" s="8" t="n">
        <f aca="false">(S5-O5)/O5*100</f>
        <v>79.7360102125359</v>
      </c>
    </row>
    <row r="6" customFormat="false" ht="12.8" hidden="false" customHeight="false" outlineLevel="0" collapsed="false">
      <c r="A6" s="7" t="s">
        <v>14</v>
      </c>
      <c r="B6" s="7" t="n">
        <v>0.639258</v>
      </c>
      <c r="C6" s="7" t="n">
        <v>0.583048</v>
      </c>
      <c r="D6" s="3" t="n">
        <v>0.993529</v>
      </c>
      <c r="E6" s="7" t="n">
        <v>0.734374</v>
      </c>
      <c r="F6" s="7" t="n">
        <v>0.785511</v>
      </c>
      <c r="G6" s="7" t="n">
        <v>0.701513</v>
      </c>
      <c r="H6" s="3" t="n">
        <v>0.997332</v>
      </c>
      <c r="I6" s="7" t="n">
        <v>0.823389</v>
      </c>
      <c r="K6" s="6" t="s">
        <v>14</v>
      </c>
      <c r="L6" s="8" t="n">
        <f aca="false">B6*100</f>
        <v>63.9258</v>
      </c>
      <c r="M6" s="8" t="n">
        <f aca="false">C6*100</f>
        <v>58.3048</v>
      </c>
      <c r="N6" s="8" t="n">
        <f aca="false">D6*100</f>
        <v>99.3529</v>
      </c>
      <c r="O6" s="8" t="n">
        <f aca="false">E6*100</f>
        <v>73.4374</v>
      </c>
      <c r="P6" s="8" t="n">
        <f aca="false">B17*100</f>
        <v>63.2233</v>
      </c>
      <c r="Q6" s="8" t="n">
        <f aca="false">C17*100</f>
        <v>58.256</v>
      </c>
      <c r="R6" s="8" t="n">
        <f aca="false">D17*100</f>
        <v>96.9768</v>
      </c>
      <c r="S6" s="8" t="n">
        <f aca="false">E17*100</f>
        <v>72.6606</v>
      </c>
      <c r="T6" s="8" t="n">
        <f aca="false">(P6-L6)/L6*100</f>
        <v>-1.09893032234247</v>
      </c>
      <c r="U6" s="8" t="n">
        <f aca="false">(Q6-M6)/M6*100</f>
        <v>-0.0836980831766852</v>
      </c>
      <c r="V6" s="8" t="n">
        <f aca="false">(R6-N6)/N6*100</f>
        <v>-2.39157588756846</v>
      </c>
      <c r="W6" s="8" t="n">
        <f aca="false">(S6-O6)/O6*100</f>
        <v>-1.05777165313586</v>
      </c>
    </row>
    <row r="7" customFormat="false" ht="12.8" hidden="false" customHeight="false" outlineLevel="0" collapsed="false">
      <c r="A7" s="7" t="s">
        <v>15</v>
      </c>
      <c r="B7" s="7" t="n">
        <v>0.265818</v>
      </c>
      <c r="C7" s="7" t="n">
        <v>0.060025</v>
      </c>
      <c r="D7" s="3" t="n">
        <v>0.025953</v>
      </c>
      <c r="E7" s="7" t="n">
        <v>0.035039</v>
      </c>
      <c r="F7" s="7" t="n">
        <v>0.844173</v>
      </c>
      <c r="G7" s="7" t="n">
        <v>0.916072</v>
      </c>
      <c r="H7" s="3" t="n">
        <v>0.762108</v>
      </c>
      <c r="I7" s="7" t="n">
        <v>0.826951</v>
      </c>
      <c r="K7" s="6" t="s">
        <v>15</v>
      </c>
      <c r="L7" s="8" t="n">
        <f aca="false">B7*100</f>
        <v>26.5818</v>
      </c>
      <c r="M7" s="8" t="n">
        <f aca="false">C7*100</f>
        <v>6.0025</v>
      </c>
      <c r="N7" s="8" t="n">
        <f aca="false">D7*100</f>
        <v>2.5953</v>
      </c>
      <c r="O7" s="8" t="n">
        <f aca="false">E7*100</f>
        <v>3.5039</v>
      </c>
      <c r="P7" s="8" t="n">
        <f aca="false">B18*100</f>
        <v>37.2266</v>
      </c>
      <c r="Q7" s="8" t="n">
        <f aca="false">C18*100</f>
        <v>28.8105</v>
      </c>
      <c r="R7" s="8" t="n">
        <f aca="false">D18*100</f>
        <v>13.2004</v>
      </c>
      <c r="S7" s="8" t="n">
        <f aca="false">E18*100</f>
        <v>14.7827</v>
      </c>
      <c r="T7" s="8" t="n">
        <f aca="false">(P7-L7)/L7*100</f>
        <v>40.0454446275271</v>
      </c>
      <c r="U7" s="8" t="n">
        <f aca="false">(Q7-M7)/M7*100</f>
        <v>379.975010412328</v>
      </c>
      <c r="V7" s="8" t="n">
        <f aca="false">(R7-N7)/N7*100</f>
        <v>408.627133664702</v>
      </c>
      <c r="W7" s="8" t="n">
        <f aca="false">(S7-O7)/O7*100</f>
        <v>321.89274808071</v>
      </c>
    </row>
    <row r="8" customFormat="false" ht="12.8" hidden="false" customHeight="false" outlineLevel="0" collapsed="false">
      <c r="A8" s="7" t="s">
        <v>16</v>
      </c>
      <c r="B8" s="7" t="n">
        <v>0.431983</v>
      </c>
      <c r="C8" s="7" t="n">
        <v>0.442255</v>
      </c>
      <c r="D8" s="3" t="n">
        <v>0.514586</v>
      </c>
      <c r="E8" s="7" t="n">
        <v>0.475516</v>
      </c>
      <c r="F8" s="7" t="n">
        <v>0.495992</v>
      </c>
      <c r="G8" s="7" t="n">
        <v>0.666672</v>
      </c>
      <c r="H8" s="3" t="n">
        <v>0.068291</v>
      </c>
      <c r="I8" s="7" t="n">
        <v>0.117795</v>
      </c>
      <c r="K8" s="6" t="s">
        <v>16</v>
      </c>
      <c r="L8" s="8" t="n">
        <f aca="false">B8*100</f>
        <v>43.1983</v>
      </c>
      <c r="M8" s="8" t="n">
        <f aca="false">C8*100</f>
        <v>44.2255</v>
      </c>
      <c r="N8" s="8" t="n">
        <f aca="false">D8*100</f>
        <v>51.4586</v>
      </c>
      <c r="O8" s="8" t="n">
        <f aca="false">E8*100</f>
        <v>47.5516</v>
      </c>
      <c r="P8" s="8" t="n">
        <f aca="false">B19*100</f>
        <v>50.4972</v>
      </c>
      <c r="Q8" s="8" t="n">
        <f aca="false">C19*100</f>
        <v>50.5164</v>
      </c>
      <c r="R8" s="8" t="n">
        <f aca="false">D19*100</f>
        <v>55.3069</v>
      </c>
      <c r="S8" s="8" t="n">
        <f aca="false">E19*100</f>
        <v>52.6394</v>
      </c>
      <c r="T8" s="8" t="n">
        <f aca="false">(P8-L8)/L8*100</f>
        <v>16.8962667512379</v>
      </c>
      <c r="U8" s="8" t="n">
        <f aca="false">(Q8-M8)/M8*100</f>
        <v>14.2245989304813</v>
      </c>
      <c r="V8" s="8" t="n">
        <f aca="false">(R8-N8)/N8*100</f>
        <v>7.47843897813001</v>
      </c>
      <c r="W8" s="8" t="n">
        <f aca="false">(S8-O8)/O8*100</f>
        <v>10.6995348211206</v>
      </c>
    </row>
    <row r="9" customFormat="false" ht="12.8" hidden="false" customHeight="false" outlineLevel="0" collapsed="false">
      <c r="A9" s="7" t="s">
        <v>17</v>
      </c>
      <c r="B9" s="7" t="n">
        <v>0.510612</v>
      </c>
      <c r="C9" s="7" t="n">
        <v>0.51964</v>
      </c>
      <c r="D9" s="3" t="n">
        <v>0.285416</v>
      </c>
      <c r="E9" s="7" t="n">
        <v>0.357056</v>
      </c>
      <c r="F9" s="7" t="n">
        <v>0.538381</v>
      </c>
      <c r="G9" s="7" t="n">
        <v>0.684234</v>
      </c>
      <c r="H9" s="3" t="n">
        <v>0.193544</v>
      </c>
      <c r="I9" s="7" t="n">
        <v>0.289554</v>
      </c>
      <c r="K9" s="6" t="s">
        <v>17</v>
      </c>
      <c r="L9" s="8" t="n">
        <f aca="false">B9*100</f>
        <v>51.0612</v>
      </c>
      <c r="M9" s="8" t="n">
        <f aca="false">C9*100</f>
        <v>51.964</v>
      </c>
      <c r="N9" s="8" t="n">
        <f aca="false">D9*100</f>
        <v>28.5416</v>
      </c>
      <c r="O9" s="8" t="n">
        <f aca="false">E9*100</f>
        <v>35.7056</v>
      </c>
      <c r="P9" s="8" t="n">
        <f aca="false">B20*100</f>
        <v>67.2895</v>
      </c>
      <c r="Q9" s="8" t="n">
        <f aca="false">C20*100</f>
        <v>69.6058</v>
      </c>
      <c r="R9" s="8" t="n">
        <f aca="false">D20*100</f>
        <v>63.5635</v>
      </c>
      <c r="S9" s="8" t="n">
        <f aca="false">E20*100</f>
        <v>65.9839</v>
      </c>
      <c r="T9" s="8" t="n">
        <f aca="false">(P9-L9)/L9*100</f>
        <v>31.7820576093002</v>
      </c>
      <c r="U9" s="8" t="n">
        <f aca="false">(Q9-M9)/M9*100</f>
        <v>33.9500423370025</v>
      </c>
      <c r="V9" s="8" t="n">
        <f aca="false">(R9-N9)/N9*100</f>
        <v>122.704753762929</v>
      </c>
      <c r="W9" s="8" t="n">
        <f aca="false">(S9-O9)/O9*100</f>
        <v>84.7998633267611</v>
      </c>
    </row>
    <row r="10" customFormat="false" ht="12.8" hidden="false" customHeight="false" outlineLevel="0" collapsed="false">
      <c r="A10" s="7" t="s">
        <v>18</v>
      </c>
      <c r="B10" s="7" t="n">
        <v>0.689743</v>
      </c>
      <c r="C10" s="7" t="n">
        <v>0.619498</v>
      </c>
      <c r="D10" s="3" t="n">
        <v>0.991001</v>
      </c>
      <c r="E10" s="7" t="n">
        <v>0.762087</v>
      </c>
      <c r="F10" s="7" t="n">
        <v>0.941946</v>
      </c>
      <c r="G10" s="7" t="n">
        <v>0.980392</v>
      </c>
      <c r="H10" s="3" t="n">
        <v>0.898136</v>
      </c>
      <c r="I10" s="7" t="n">
        <v>0.895533</v>
      </c>
      <c r="K10" s="6" t="s">
        <v>18</v>
      </c>
      <c r="L10" s="8" t="n">
        <f aca="false">B10*100</f>
        <v>68.9743</v>
      </c>
      <c r="M10" s="8" t="n">
        <f aca="false">C10*100</f>
        <v>61.9498</v>
      </c>
      <c r="N10" s="8" t="n">
        <f aca="false">D10*100</f>
        <v>99.1001</v>
      </c>
      <c r="O10" s="8" t="n">
        <f aca="false">E10*100</f>
        <v>76.2087</v>
      </c>
      <c r="P10" s="8" t="n">
        <f aca="false">B21*100</f>
        <v>73.2489</v>
      </c>
      <c r="Q10" s="8" t="n">
        <f aca="false">C21*100</f>
        <v>65.5793</v>
      </c>
      <c r="R10" s="8" t="n">
        <f aca="false">D21*100</f>
        <v>99.0618</v>
      </c>
      <c r="S10" s="8" t="n">
        <f aca="false">E21*100</f>
        <v>78.844</v>
      </c>
      <c r="T10" s="8" t="n">
        <f aca="false">(P10-L10)/L10*100</f>
        <v>6.19738076355975</v>
      </c>
      <c r="U10" s="8" t="n">
        <f aca="false">(Q10-M10)/M10*100</f>
        <v>5.85877597667788</v>
      </c>
      <c r="V10" s="8" t="n">
        <f aca="false">(R10-N10)/N10*100</f>
        <v>-0.0386477914754803</v>
      </c>
      <c r="W10" s="8" t="n">
        <f aca="false">(S10-O10)/O10*100</f>
        <v>3.45800413863511</v>
      </c>
    </row>
    <row r="11" customFormat="false" ht="12.8" hidden="false" customHeight="false" outlineLevel="0" collapsed="false">
      <c r="A11" s="10"/>
      <c r="B11" s="11"/>
      <c r="C11" s="11"/>
      <c r="D11" s="12"/>
      <c r="E11" s="12"/>
      <c r="F11" s="12"/>
      <c r="G11" s="12"/>
      <c r="H11" s="12"/>
      <c r="I11" s="12"/>
      <c r="K11" s="13" t="s">
        <v>19</v>
      </c>
      <c r="L11" s="8" t="n">
        <f aca="false">AVERAGE(L4:L10)</f>
        <v>47.5560428571429</v>
      </c>
      <c r="M11" s="8" t="n">
        <f aca="false">AVERAGE(M4:M10)</f>
        <v>41.5131</v>
      </c>
      <c r="N11" s="8" t="n">
        <f aca="false">AVERAGE(N4:N10)</f>
        <v>48.3909142857143</v>
      </c>
      <c r="O11" s="8" t="n">
        <f aca="false">AVERAGE(O4:O10)</f>
        <v>42.5342857142857</v>
      </c>
      <c r="P11" s="8" t="n">
        <f aca="false">AVERAGE(P4:P10)</f>
        <v>55.4821714285714</v>
      </c>
      <c r="Q11" s="8" t="n">
        <f aca="false">AVERAGE(Q4:Q10)</f>
        <v>51.5200857142857</v>
      </c>
      <c r="R11" s="8" t="n">
        <f aca="false">AVERAGE(R4:R10)</f>
        <v>58.9597714285714</v>
      </c>
      <c r="S11" s="8" t="n">
        <f aca="false">AVERAGE(S4:S10)</f>
        <v>52.7932428571429</v>
      </c>
      <c r="T11" s="8" t="n">
        <f aca="false">AVERAGE(T4:T10)</f>
        <v>20.4952628383303</v>
      </c>
      <c r="U11" s="8" t="n">
        <f aca="false">AVERAGE(U4:U10)</f>
        <v>70.7404619272216</v>
      </c>
      <c r="V11" s="8" t="n">
        <f aca="false">AVERAGE(V4:V10)</f>
        <v>91.4366358547112</v>
      </c>
      <c r="W11" s="8" t="n">
        <f aca="false">AVERAGE(W4:W10)</f>
        <v>71.7421880792767</v>
      </c>
    </row>
    <row r="12" customFormat="false" ht="12.8" hidden="false" customHeight="false" outlineLevel="0" collapsed="false">
      <c r="A12" s="14" t="s">
        <v>20</v>
      </c>
      <c r="B12" s="14"/>
      <c r="C12" s="14"/>
      <c r="D12" s="14"/>
      <c r="E12" s="14"/>
      <c r="F12" s="14"/>
      <c r="G12" s="14"/>
      <c r="H12" s="14"/>
      <c r="I12" s="14"/>
      <c r="AF12" s="15"/>
    </row>
    <row r="13" customFormat="false" ht="12.8" hidden="false" customHeight="false" outlineLevel="0" collapsed="false">
      <c r="A13" s="7"/>
      <c r="B13" s="16" t="s">
        <v>2</v>
      </c>
      <c r="C13" s="16"/>
      <c r="D13" s="16"/>
      <c r="E13" s="16"/>
      <c r="F13" s="16" t="s">
        <v>3</v>
      </c>
      <c r="G13" s="16"/>
      <c r="H13" s="16"/>
      <c r="I13" s="16"/>
      <c r="K13" s="2" t="s">
        <v>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2.8" hidden="false" customHeight="false" outlineLevel="0" collapsed="false">
      <c r="A14" s="7"/>
      <c r="B14" s="7" t="s">
        <v>8</v>
      </c>
      <c r="C14" s="7" t="s">
        <v>9</v>
      </c>
      <c r="D14" s="7" t="s">
        <v>10</v>
      </c>
      <c r="E14" s="7" t="s">
        <v>11</v>
      </c>
      <c r="F14" s="7" t="s">
        <v>8</v>
      </c>
      <c r="G14" s="7" t="s">
        <v>9</v>
      </c>
      <c r="H14" s="7" t="s">
        <v>10</v>
      </c>
      <c r="I14" s="7" t="s">
        <v>11</v>
      </c>
      <c r="K14" s="2" t="s">
        <v>4</v>
      </c>
      <c r="L14" s="17" t="s">
        <v>5</v>
      </c>
      <c r="M14" s="17"/>
      <c r="N14" s="17"/>
      <c r="O14" s="17"/>
      <c r="P14" s="5" t="s">
        <v>6</v>
      </c>
      <c r="Q14" s="5"/>
      <c r="R14" s="5"/>
      <c r="S14" s="5"/>
      <c r="T14" s="5" t="s">
        <v>7</v>
      </c>
      <c r="U14" s="5"/>
      <c r="V14" s="5"/>
      <c r="W14" s="5"/>
    </row>
    <row r="15" customFormat="false" ht="12.8" hidden="false" customHeight="false" outlineLevel="0" collapsed="false">
      <c r="A15" s="7" t="s">
        <v>12</v>
      </c>
      <c r="B15" s="7" t="n">
        <v>0.462054</v>
      </c>
      <c r="C15" s="3" t="n">
        <v>0.375981</v>
      </c>
      <c r="D15" s="3" t="n">
        <v>0.326787</v>
      </c>
      <c r="E15" s="3" t="n">
        <v>0.340962</v>
      </c>
      <c r="F15" s="7" t="n">
        <v>0.970754</v>
      </c>
      <c r="G15" s="3" t="n">
        <v>0.970754</v>
      </c>
      <c r="H15" s="3" t="n">
        <v>0.795321</v>
      </c>
      <c r="I15" s="3" t="n">
        <v>0.873151</v>
      </c>
      <c r="K15" s="2"/>
      <c r="L15" s="6" t="s">
        <v>8</v>
      </c>
      <c r="M15" s="6" t="s">
        <v>9</v>
      </c>
      <c r="N15" s="6" t="s">
        <v>10</v>
      </c>
      <c r="O15" s="6" t="s">
        <v>11</v>
      </c>
      <c r="P15" s="6" t="s">
        <v>8</v>
      </c>
      <c r="Q15" s="6" t="s">
        <v>9</v>
      </c>
      <c r="R15" s="6" t="s">
        <v>10</v>
      </c>
      <c r="S15" s="6" t="s">
        <v>11</v>
      </c>
      <c r="T15" s="6" t="s">
        <v>8</v>
      </c>
      <c r="U15" s="6" t="s">
        <v>9</v>
      </c>
      <c r="V15" s="6" t="s">
        <v>10</v>
      </c>
      <c r="W15" s="6" t="s">
        <v>11</v>
      </c>
    </row>
    <row r="16" customFormat="false" ht="12.8" hidden="false" customHeight="false" outlineLevel="0" collapsed="false">
      <c r="A16" s="7" t="s">
        <v>13</v>
      </c>
      <c r="B16" s="7" t="n">
        <v>0.506843</v>
      </c>
      <c r="C16" s="3" t="n">
        <v>0.502745</v>
      </c>
      <c r="D16" s="3" t="n">
        <v>0.519303</v>
      </c>
      <c r="E16" s="3" t="n">
        <v>0.505459</v>
      </c>
      <c r="F16" s="7" t="n">
        <v>0.951345</v>
      </c>
      <c r="G16" s="3" t="n">
        <v>0.951345</v>
      </c>
      <c r="H16" s="3" t="n">
        <v>0.964373</v>
      </c>
      <c r="I16" s="3" t="n">
        <v>0.957763</v>
      </c>
      <c r="K16" s="3" t="s">
        <v>12</v>
      </c>
      <c r="L16" s="8" t="n">
        <f aca="false">F4*100</f>
        <v>48.0277</v>
      </c>
      <c r="M16" s="8" t="n">
        <f aca="false">G4*100</f>
        <v>12.9702</v>
      </c>
      <c r="N16" s="8" t="n">
        <f aca="false">H4*100</f>
        <v>0.4799</v>
      </c>
      <c r="O16" s="8" t="n">
        <f aca="false">I4*100</f>
        <v>0.909</v>
      </c>
      <c r="P16" s="8" t="n">
        <f aca="false">F15*100</f>
        <v>97.0754</v>
      </c>
      <c r="Q16" s="8" t="n">
        <f aca="false">G15*100</f>
        <v>97.0754</v>
      </c>
      <c r="R16" s="8" t="n">
        <f aca="false">H15*100</f>
        <v>79.5321</v>
      </c>
      <c r="S16" s="8" t="n">
        <f aca="false">I15*100</f>
        <v>87.3151</v>
      </c>
      <c r="T16" s="8" t="n">
        <f aca="false">(P16-L16)/L16*100</f>
        <v>102.123774405187</v>
      </c>
      <c r="U16" s="8" t="n">
        <f aca="false">(Q16-M16)/M16*100</f>
        <v>648.449522752155</v>
      </c>
      <c r="V16" s="8" t="n">
        <f aca="false">(R16-N16)/N16*100</f>
        <v>16472.6401333611</v>
      </c>
      <c r="W16" s="8" t="n">
        <f aca="false">(S16-O16)/O16*100</f>
        <v>9505.62156215622</v>
      </c>
    </row>
    <row r="17" customFormat="false" ht="12.8" hidden="false" customHeight="false" outlineLevel="0" collapsed="false">
      <c r="A17" s="7" t="s">
        <v>14</v>
      </c>
      <c r="B17" s="7" t="n">
        <v>0.632233</v>
      </c>
      <c r="C17" s="3" t="n">
        <v>0.58256</v>
      </c>
      <c r="D17" s="3" t="n">
        <v>0.969768</v>
      </c>
      <c r="E17" s="3" t="n">
        <v>0.726606</v>
      </c>
      <c r="F17" s="7" t="n">
        <v>0.878425</v>
      </c>
      <c r="G17" s="3" t="n">
        <v>0.878425</v>
      </c>
      <c r="H17" s="3" t="n">
        <v>0.997176</v>
      </c>
      <c r="I17" s="3" t="n">
        <v>0.933259</v>
      </c>
      <c r="K17" s="3" t="s">
        <v>13</v>
      </c>
      <c r="L17" s="8" t="n">
        <f aca="false">F5*100</f>
        <v>68.1152</v>
      </c>
      <c r="M17" s="8" t="n">
        <f aca="false">G5*100</f>
        <v>62.4577</v>
      </c>
      <c r="N17" s="8" t="n">
        <f aca="false">H5*100</f>
        <v>93.1361</v>
      </c>
      <c r="O17" s="8" t="n">
        <f aca="false">I5*100</f>
        <v>74.5575</v>
      </c>
      <c r="P17" s="8" t="n">
        <f aca="false">F16*100</f>
        <v>95.1345</v>
      </c>
      <c r="Q17" s="8" t="n">
        <f aca="false">G16*100</f>
        <v>95.1345</v>
      </c>
      <c r="R17" s="8" t="n">
        <f aca="false">H16*100</f>
        <v>96.4373</v>
      </c>
      <c r="S17" s="8" t="n">
        <f aca="false">I16*100</f>
        <v>95.7763</v>
      </c>
      <c r="T17" s="8" t="n">
        <f aca="false">(P17-L17)/L17*100</f>
        <v>39.6670640326975</v>
      </c>
      <c r="U17" s="8" t="n">
        <f aca="false">(Q17-M17)/M17*100</f>
        <v>52.3182890180074</v>
      </c>
      <c r="V17" s="8" t="n">
        <f aca="false">(R17-N17)/N17*100</f>
        <v>3.5444902674688</v>
      </c>
      <c r="W17" s="8" t="n">
        <f aca="false">(S17-O17)/O17*100</f>
        <v>28.4596452402508</v>
      </c>
    </row>
    <row r="18" customFormat="false" ht="12.8" hidden="false" customHeight="false" outlineLevel="0" collapsed="false">
      <c r="A18" s="7" t="s">
        <v>15</v>
      </c>
      <c r="B18" s="7" t="n">
        <v>0.372266</v>
      </c>
      <c r="C18" s="3" t="n">
        <v>0.288105</v>
      </c>
      <c r="D18" s="3" t="n">
        <v>0.132004</v>
      </c>
      <c r="E18" s="3" t="n">
        <v>0.147827</v>
      </c>
      <c r="F18" s="7" t="n">
        <v>0.912394</v>
      </c>
      <c r="G18" s="3" t="n">
        <v>0.912394</v>
      </c>
      <c r="H18" s="3" t="n">
        <v>0.881429</v>
      </c>
      <c r="I18" s="3" t="n">
        <v>0.893852</v>
      </c>
      <c r="K18" s="3" t="s">
        <v>14</v>
      </c>
      <c r="L18" s="8" t="n">
        <f aca="false">F6*100</f>
        <v>78.5511</v>
      </c>
      <c r="M18" s="8" t="n">
        <f aca="false">G6*100</f>
        <v>70.1513</v>
      </c>
      <c r="N18" s="8" t="n">
        <f aca="false">H6*100</f>
        <v>99.7332</v>
      </c>
      <c r="O18" s="8" t="n">
        <f aca="false">I6*100</f>
        <v>82.3389</v>
      </c>
      <c r="P18" s="8" t="n">
        <f aca="false">F17*100</f>
        <v>87.8425</v>
      </c>
      <c r="Q18" s="8" t="n">
        <f aca="false">G17*100</f>
        <v>87.8425</v>
      </c>
      <c r="R18" s="8" t="n">
        <f aca="false">H17*100</f>
        <v>99.7176</v>
      </c>
      <c r="S18" s="8" t="n">
        <f aca="false">I17*100</f>
        <v>93.3259</v>
      </c>
      <c r="T18" s="8" t="n">
        <f aca="false">(P18-L18)/L18*100</f>
        <v>11.8284785318092</v>
      </c>
      <c r="U18" s="8" t="n">
        <f aca="false">(Q18-M18)/M18*100</f>
        <v>25.2186345798296</v>
      </c>
      <c r="V18" s="8" t="n">
        <f aca="false">(R18-N18)/N18*100</f>
        <v>-0.0156417321413594</v>
      </c>
      <c r="W18" s="8" t="n">
        <f aca="false">(S18-O18)/O18*100</f>
        <v>13.3436322321527</v>
      </c>
    </row>
    <row r="19" customFormat="false" ht="12.8" hidden="false" customHeight="false" outlineLevel="0" collapsed="false">
      <c r="A19" s="7" t="s">
        <v>16</v>
      </c>
      <c r="B19" s="7" t="n">
        <v>0.504972</v>
      </c>
      <c r="C19" s="3" t="n">
        <v>0.505164</v>
      </c>
      <c r="D19" s="3" t="n">
        <v>0.553069</v>
      </c>
      <c r="E19" s="3" t="n">
        <v>0.526394</v>
      </c>
      <c r="F19" s="7" t="n">
        <v>0.93713</v>
      </c>
      <c r="G19" s="3" t="n">
        <v>0.93713</v>
      </c>
      <c r="H19" s="3" t="n">
        <v>0.883122</v>
      </c>
      <c r="I19" s="3" t="n">
        <v>0.903324</v>
      </c>
      <c r="K19" s="3" t="s">
        <v>15</v>
      </c>
      <c r="L19" s="8" t="n">
        <f aca="false">F7*100</f>
        <v>84.4173</v>
      </c>
      <c r="M19" s="8" t="n">
        <f aca="false">G7*100</f>
        <v>91.6072</v>
      </c>
      <c r="N19" s="8" t="n">
        <f aca="false">H7*100</f>
        <v>76.2108</v>
      </c>
      <c r="O19" s="8" t="n">
        <f aca="false">I7*100</f>
        <v>82.6951</v>
      </c>
      <c r="P19" s="8" t="n">
        <f aca="false">F18*100</f>
        <v>91.2394</v>
      </c>
      <c r="Q19" s="8" t="n">
        <f aca="false">G18*100</f>
        <v>91.2394</v>
      </c>
      <c r="R19" s="8" t="n">
        <f aca="false">H18*100</f>
        <v>88.1429</v>
      </c>
      <c r="S19" s="8" t="n">
        <f aca="false">I18*100</f>
        <v>89.3852</v>
      </c>
      <c r="T19" s="8" t="n">
        <f aca="false">(P19-L19)/L19*100</f>
        <v>8.08140037646313</v>
      </c>
      <c r="U19" s="8" t="n">
        <f aca="false">(Q19-M19)/M19*100</f>
        <v>-0.401496825577032</v>
      </c>
      <c r="V19" s="8" t="n">
        <f aca="false">(R19-N19)/N19*100</f>
        <v>15.6567048239882</v>
      </c>
      <c r="W19" s="8" t="n">
        <f aca="false">(S19-O19)/O19*100</f>
        <v>8.09008030705568</v>
      </c>
    </row>
    <row r="20" customFormat="false" ht="12.8" hidden="false" customHeight="false" outlineLevel="0" collapsed="false">
      <c r="A20" s="7" t="s">
        <v>17</v>
      </c>
      <c r="B20" s="7" t="n">
        <v>0.672895</v>
      </c>
      <c r="C20" s="3" t="n">
        <v>0.696058</v>
      </c>
      <c r="D20" s="3" t="n">
        <v>0.635635</v>
      </c>
      <c r="E20" s="3" t="n">
        <v>0.659839</v>
      </c>
      <c r="F20" s="7" t="n">
        <v>0.851218</v>
      </c>
      <c r="G20" s="3" t="n">
        <v>0.851218</v>
      </c>
      <c r="H20" s="3" t="n">
        <v>0.60881</v>
      </c>
      <c r="I20" s="3" t="n">
        <v>0.707252</v>
      </c>
      <c r="K20" s="3" t="s">
        <v>16</v>
      </c>
      <c r="L20" s="8" t="n">
        <f aca="false">F8*100</f>
        <v>49.5992</v>
      </c>
      <c r="M20" s="8" t="n">
        <f aca="false">G8*100</f>
        <v>66.6672</v>
      </c>
      <c r="N20" s="8" t="n">
        <f aca="false">H8*100</f>
        <v>6.8291</v>
      </c>
      <c r="O20" s="8" t="n">
        <f aca="false">I8*100</f>
        <v>11.7795</v>
      </c>
      <c r="P20" s="8" t="n">
        <f aca="false">F19*100</f>
        <v>93.713</v>
      </c>
      <c r="Q20" s="8" t="n">
        <f aca="false">G19*100</f>
        <v>93.713</v>
      </c>
      <c r="R20" s="8" t="n">
        <f aca="false">H19*100</f>
        <v>88.3122</v>
      </c>
      <c r="S20" s="8" t="n">
        <f aca="false">I19*100</f>
        <v>90.3324</v>
      </c>
      <c r="T20" s="8" t="n">
        <f aca="false">(P20-L20)/L20*100</f>
        <v>88.9405474281844</v>
      </c>
      <c r="U20" s="8" t="n">
        <f aca="false">(Q20-M20)/M20*100</f>
        <v>40.5683754529964</v>
      </c>
      <c r="V20" s="8" t="n">
        <f aca="false">(R20-N20)/N20*100</f>
        <v>1193.17479609319</v>
      </c>
      <c r="W20" s="8" t="n">
        <f aca="false">(S20-O20)/O20*100</f>
        <v>666.861072201706</v>
      </c>
    </row>
    <row r="21" customFormat="false" ht="12.8" hidden="false" customHeight="false" outlineLevel="0" collapsed="false">
      <c r="A21" s="7" t="s">
        <v>18</v>
      </c>
      <c r="B21" s="7" t="n">
        <v>0.732489</v>
      </c>
      <c r="C21" s="3" t="n">
        <v>0.655793</v>
      </c>
      <c r="D21" s="3" t="n">
        <v>0.990618</v>
      </c>
      <c r="E21" s="3" t="n">
        <v>0.78844</v>
      </c>
      <c r="F21" s="7" t="n">
        <v>0.997363</v>
      </c>
      <c r="G21" s="3" t="n">
        <v>0.997363</v>
      </c>
      <c r="H21" s="3" t="n">
        <v>0.992574</v>
      </c>
      <c r="I21" s="3" t="n">
        <v>0.994953</v>
      </c>
      <c r="K21" s="3" t="s">
        <v>17</v>
      </c>
      <c r="L21" s="8" t="n">
        <f aca="false">F9*100</f>
        <v>53.8381</v>
      </c>
      <c r="M21" s="8" t="n">
        <f aca="false">G9*100</f>
        <v>68.4234</v>
      </c>
      <c r="N21" s="8" t="n">
        <f aca="false">H9*100</f>
        <v>19.3544</v>
      </c>
      <c r="O21" s="8" t="n">
        <f aca="false">I9*100</f>
        <v>28.9554</v>
      </c>
      <c r="P21" s="8" t="n">
        <f aca="false">F20*100</f>
        <v>85.1218</v>
      </c>
      <c r="Q21" s="8" t="n">
        <f aca="false">G20*100</f>
        <v>85.1218</v>
      </c>
      <c r="R21" s="8" t="n">
        <f aca="false">H20*100</f>
        <v>60.881</v>
      </c>
      <c r="S21" s="8" t="n">
        <f aca="false">I20*100</f>
        <v>70.7252</v>
      </c>
      <c r="T21" s="8" t="n">
        <f aca="false">(P21-L21)/L21*100</f>
        <v>58.1069911456757</v>
      </c>
      <c r="U21" s="8" t="n">
        <f aca="false">(Q21-M21)/M21*100</f>
        <v>24.404516583508</v>
      </c>
      <c r="V21" s="8" t="n">
        <f aca="false">(R21-N21)/N21*100</f>
        <v>214.558963336502</v>
      </c>
      <c r="W21" s="8" t="n">
        <f aca="false">(S21-O21)/O21*100</f>
        <v>144.255648341933</v>
      </c>
    </row>
    <row r="22" customFormat="false" ht="12.8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K22" s="3" t="s">
        <v>18</v>
      </c>
      <c r="L22" s="8" t="n">
        <f aca="false">F10*100</f>
        <v>94.1946</v>
      </c>
      <c r="M22" s="8" t="n">
        <f aca="false">G10*100</f>
        <v>98.0392</v>
      </c>
      <c r="N22" s="8" t="n">
        <f aca="false">H10*100</f>
        <v>89.8136</v>
      </c>
      <c r="O22" s="8" t="n">
        <f aca="false">I10*100</f>
        <v>89.5533</v>
      </c>
      <c r="P22" s="8" t="n">
        <f aca="false">F21*100</f>
        <v>99.7363</v>
      </c>
      <c r="Q22" s="8" t="n">
        <f aca="false">G21*100</f>
        <v>99.7363</v>
      </c>
      <c r="R22" s="8" t="n">
        <f aca="false">H21*100</f>
        <v>99.2574</v>
      </c>
      <c r="S22" s="8" t="n">
        <f aca="false">I21*100</f>
        <v>99.4953</v>
      </c>
      <c r="T22" s="8" t="n">
        <f aca="false">(P22-L22)/L22*100</f>
        <v>5.88324596102113</v>
      </c>
      <c r="U22" s="8" t="n">
        <f aca="false">(Q22-M22)/M22*100</f>
        <v>1.73104227696676</v>
      </c>
      <c r="V22" s="8" t="n">
        <f aca="false">(R22-N22)/N22*100</f>
        <v>10.5148886137511</v>
      </c>
      <c r="W22" s="8" t="n">
        <f aca="false">(S22-O22)/O22*100</f>
        <v>11.1017684440439</v>
      </c>
    </row>
    <row r="23" customFormat="false" ht="12.8" hidden="false" customHeight="false" outlineLevel="0" collapsed="false">
      <c r="A23" s="14" t="s">
        <v>22</v>
      </c>
      <c r="B23" s="14"/>
      <c r="C23" s="14"/>
      <c r="D23" s="14"/>
      <c r="E23" s="14"/>
      <c r="F23" s="14"/>
      <c r="G23" s="14"/>
      <c r="H23" s="14"/>
      <c r="I23" s="14"/>
      <c r="K23" s="13" t="s">
        <v>19</v>
      </c>
      <c r="L23" s="8" t="n">
        <f aca="false">AVERAGE(L16:L22)</f>
        <v>68.1061714285714</v>
      </c>
      <c r="M23" s="8" t="n">
        <f aca="false">AVERAGE(M16:M22)</f>
        <v>67.1880285714286</v>
      </c>
      <c r="N23" s="8" t="n">
        <f aca="false">AVERAGE(N16:N22)</f>
        <v>55.0795857142857</v>
      </c>
      <c r="O23" s="8" t="n">
        <f aca="false">AVERAGE(O16:O22)</f>
        <v>52.9698142857143</v>
      </c>
      <c r="P23" s="8" t="n">
        <f aca="false">AVERAGE(P16:P22)</f>
        <v>92.8375571428572</v>
      </c>
      <c r="Q23" s="8" t="n">
        <f aca="false">AVERAGE(Q16:Q22)</f>
        <v>92.8375571428572</v>
      </c>
      <c r="R23" s="8" t="n">
        <f aca="false">AVERAGE(R16:R22)</f>
        <v>87.4686428571429</v>
      </c>
      <c r="S23" s="8" t="n">
        <f aca="false">AVERAGE(S16:S22)</f>
        <v>89.4793428571429</v>
      </c>
      <c r="T23" s="8" t="n">
        <f aca="false">AVERAGE(T16:T22)</f>
        <v>44.9473574115769</v>
      </c>
      <c r="U23" s="8" t="n">
        <f aca="false">AVERAGE(U16:U22)</f>
        <v>113.184126262555</v>
      </c>
      <c r="V23" s="8" t="n">
        <f aca="false">AVERAGE(V16:V22)</f>
        <v>2558.58204782341</v>
      </c>
      <c r="W23" s="8" t="n">
        <f aca="false">AVERAGE(W16:W22)</f>
        <v>1482.53334413191</v>
      </c>
    </row>
    <row r="24" customFormat="false" ht="12.8" hidden="false" customHeight="false" outlineLevel="0" collapsed="false">
      <c r="A24" s="7"/>
      <c r="B24" s="16" t="s">
        <v>2</v>
      </c>
      <c r="C24" s="16"/>
      <c r="D24" s="16"/>
      <c r="E24" s="16"/>
      <c r="F24" s="16" t="s">
        <v>3</v>
      </c>
      <c r="G24" s="16"/>
      <c r="H24" s="16"/>
      <c r="I24" s="16"/>
    </row>
    <row r="25" customFormat="false" ht="12.8" hidden="false" customHeight="false" outlineLevel="0" collapsed="false">
      <c r="A25" s="7"/>
      <c r="B25" s="7" t="s">
        <v>8</v>
      </c>
      <c r="C25" s="7" t="s">
        <v>9</v>
      </c>
      <c r="D25" s="7" t="s">
        <v>10</v>
      </c>
      <c r="E25" s="7" t="s">
        <v>11</v>
      </c>
      <c r="F25" s="7" t="s">
        <v>8</v>
      </c>
      <c r="G25" s="7" t="s">
        <v>9</v>
      </c>
      <c r="H25" s="7" t="s">
        <v>10</v>
      </c>
      <c r="I25" s="7" t="s">
        <v>11</v>
      </c>
      <c r="K25" s="2" t="s">
        <v>23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2.8" hidden="false" customHeight="false" outlineLevel="0" collapsed="false">
      <c r="A26" s="7" t="s">
        <v>12</v>
      </c>
      <c r="B26" s="7" t="n">
        <v>0.503425</v>
      </c>
      <c r="C26" s="3" t="n">
        <v>0.702298</v>
      </c>
      <c r="D26" s="3" t="n">
        <v>0.015074</v>
      </c>
      <c r="E26" s="3" t="n">
        <v>0.029406</v>
      </c>
      <c r="F26" s="7" t="n">
        <v>0.489953</v>
      </c>
      <c r="G26" s="3" t="n">
        <v>0.448195</v>
      </c>
      <c r="H26" s="3" t="n">
        <v>0.049378</v>
      </c>
      <c r="I26" s="3" t="n">
        <v>0.08499</v>
      </c>
      <c r="K26" s="2" t="s">
        <v>4</v>
      </c>
      <c r="L26" s="17" t="s">
        <v>5</v>
      </c>
      <c r="M26" s="17"/>
      <c r="N26" s="17"/>
      <c r="O26" s="17"/>
      <c r="P26" s="5" t="s">
        <v>6</v>
      </c>
      <c r="Q26" s="5"/>
      <c r="R26" s="5"/>
      <c r="S26" s="5"/>
      <c r="T26" s="5" t="s">
        <v>7</v>
      </c>
      <c r="U26" s="5"/>
      <c r="V26" s="5"/>
      <c r="W26" s="5"/>
    </row>
    <row r="27" customFormat="false" ht="12.8" hidden="false" customHeight="false" outlineLevel="0" collapsed="false">
      <c r="A27" s="7" t="s">
        <v>13</v>
      </c>
      <c r="B27" s="7" t="n">
        <v>0.633558</v>
      </c>
      <c r="C27" s="3" t="n">
        <v>0.674531</v>
      </c>
      <c r="D27" s="3" t="n">
        <v>0.514358</v>
      </c>
      <c r="E27" s="3" t="n">
        <v>0.581596</v>
      </c>
      <c r="F27" s="7" t="n">
        <v>0.61274</v>
      </c>
      <c r="G27" s="3" t="n">
        <v>0.662259</v>
      </c>
      <c r="H27" s="3" t="n">
        <v>0.51993</v>
      </c>
      <c r="I27" s="3" t="n">
        <v>0.575969</v>
      </c>
      <c r="K27" s="2"/>
      <c r="L27" s="3" t="s">
        <v>8</v>
      </c>
      <c r="M27" s="3" t="s">
        <v>9</v>
      </c>
      <c r="N27" s="3" t="s">
        <v>10</v>
      </c>
      <c r="O27" s="3" t="s">
        <v>11</v>
      </c>
      <c r="P27" s="3" t="s">
        <v>8</v>
      </c>
      <c r="Q27" s="3" t="s">
        <v>9</v>
      </c>
      <c r="R27" s="3" t="s">
        <v>10</v>
      </c>
      <c r="S27" s="3" t="s">
        <v>11</v>
      </c>
      <c r="T27" s="3" t="s">
        <v>8</v>
      </c>
      <c r="U27" s="3" t="s">
        <v>9</v>
      </c>
      <c r="V27" s="3" t="s">
        <v>10</v>
      </c>
      <c r="W27" s="3" t="s">
        <v>11</v>
      </c>
    </row>
    <row r="28" customFormat="false" ht="12.8" hidden="false" customHeight="false" outlineLevel="0" collapsed="false">
      <c r="A28" s="7" t="s">
        <v>14</v>
      </c>
      <c r="B28" s="7" t="n">
        <v>0.810267</v>
      </c>
      <c r="C28" s="3" t="n">
        <v>0.731018</v>
      </c>
      <c r="D28" s="3" t="n">
        <v>0.982458</v>
      </c>
      <c r="E28" s="3" t="n">
        <v>0.838223</v>
      </c>
      <c r="F28" s="7" t="n">
        <v>0.803408</v>
      </c>
      <c r="G28" s="3" t="n">
        <v>0.722743</v>
      </c>
      <c r="H28" s="3" t="n">
        <v>0.987794</v>
      </c>
      <c r="I28" s="3" t="n">
        <v>0.834313</v>
      </c>
      <c r="K28" s="3" t="s">
        <v>12</v>
      </c>
      <c r="L28" s="8" t="n">
        <f aca="false">B26*100</f>
        <v>50.3425</v>
      </c>
      <c r="M28" s="8" t="n">
        <f aca="false">C26*100</f>
        <v>70.2298</v>
      </c>
      <c r="N28" s="8" t="n">
        <f aca="false">D26*100</f>
        <v>1.5074</v>
      </c>
      <c r="O28" s="8" t="n">
        <f aca="false">E26*100</f>
        <v>2.9406</v>
      </c>
      <c r="P28" s="8" t="n">
        <f aca="false">B37*100</f>
        <v>77.8824</v>
      </c>
      <c r="Q28" s="8" t="n">
        <f aca="false">C37*100</f>
        <v>95.3898</v>
      </c>
      <c r="R28" s="8" t="n">
        <f aca="false">D37*100</f>
        <v>58.7964</v>
      </c>
      <c r="S28" s="8" t="n">
        <f aca="false">E37*100</f>
        <v>71.8547</v>
      </c>
      <c r="T28" s="8" t="n">
        <f aca="false">(P28-L28)/L28*100</f>
        <v>54.7050702686597</v>
      </c>
      <c r="U28" s="8" t="n">
        <f aca="false">(Q28-M28)/M28*100</f>
        <v>35.8252479716588</v>
      </c>
      <c r="V28" s="8" t="n">
        <f aca="false">(R28-N28)/N28*100</f>
        <v>3800.51744726018</v>
      </c>
      <c r="W28" s="8" t="n">
        <f aca="false">(S28-O28)/O28*100</f>
        <v>2343.53873359178</v>
      </c>
    </row>
    <row r="29" customFormat="false" ht="12.8" hidden="false" customHeight="false" outlineLevel="0" collapsed="false">
      <c r="A29" s="7" t="s">
        <v>15</v>
      </c>
      <c r="B29" s="7" t="n">
        <v>0.729186</v>
      </c>
      <c r="C29" s="3" t="n">
        <v>0.804418</v>
      </c>
      <c r="D29" s="3" t="n">
        <v>0.603544</v>
      </c>
      <c r="E29" s="3" t="n">
        <v>0.688427</v>
      </c>
      <c r="F29" s="7" t="n">
        <v>0.583024</v>
      </c>
      <c r="G29" s="3" t="n">
        <v>0.698766</v>
      </c>
      <c r="H29" s="3" t="n">
        <v>0.391263</v>
      </c>
      <c r="I29" s="3" t="n">
        <v>0.478077</v>
      </c>
      <c r="K29" s="3" t="s">
        <v>13</v>
      </c>
      <c r="L29" s="8" t="n">
        <f aca="false">B27*100</f>
        <v>63.3558</v>
      </c>
      <c r="M29" s="8" t="n">
        <f aca="false">C27*100</f>
        <v>67.4531</v>
      </c>
      <c r="N29" s="8" t="n">
        <f aca="false">D27*100</f>
        <v>51.4358</v>
      </c>
      <c r="O29" s="8" t="n">
        <f aca="false">E27*100</f>
        <v>58.1596</v>
      </c>
      <c r="P29" s="8" t="n">
        <f aca="false">B38*100</f>
        <v>87.5544</v>
      </c>
      <c r="Q29" s="8" t="n">
        <f aca="false">C38*100</f>
        <v>91.5497</v>
      </c>
      <c r="R29" s="8" t="n">
        <f aca="false">D38*100</f>
        <v>82.8307</v>
      </c>
      <c r="S29" s="8" t="n">
        <f aca="false">E38*100</f>
        <v>86.5684</v>
      </c>
      <c r="T29" s="8" t="n">
        <f aca="false">(P29-L29)/L29*100</f>
        <v>38.1947666985501</v>
      </c>
      <c r="U29" s="8" t="n">
        <f aca="false">(Q29-M29)/M29*100</f>
        <v>35.7234878752793</v>
      </c>
      <c r="V29" s="8" t="n">
        <f aca="false">(R29-N29)/N29*100</f>
        <v>61.0370597910405</v>
      </c>
      <c r="W29" s="8" t="n">
        <f aca="false">(S29-O29)/O29*100</f>
        <v>48.8462781724771</v>
      </c>
    </row>
    <row r="30" customFormat="false" ht="12.8" hidden="false" customHeight="false" outlineLevel="0" collapsed="false">
      <c r="A30" s="7" t="s">
        <v>16</v>
      </c>
      <c r="B30" s="7" t="n">
        <v>0.572401</v>
      </c>
      <c r="C30" s="3" t="n">
        <v>0.584414</v>
      </c>
      <c r="D30" s="3" t="n">
        <v>0.501338</v>
      </c>
      <c r="E30" s="3" t="n">
        <v>0.53969</v>
      </c>
      <c r="F30" s="7" t="n">
        <v>0.432887</v>
      </c>
      <c r="G30" s="3" t="n">
        <v>0.386362</v>
      </c>
      <c r="H30" s="3" t="n">
        <v>0.101187</v>
      </c>
      <c r="I30" s="3" t="n">
        <v>0.114562</v>
      </c>
      <c r="K30" s="3" t="s">
        <v>14</v>
      </c>
      <c r="L30" s="8" t="n">
        <f aca="false">B28*100</f>
        <v>81.0267</v>
      </c>
      <c r="M30" s="8" t="n">
        <f aca="false">C28*100</f>
        <v>73.1018</v>
      </c>
      <c r="N30" s="8" t="n">
        <f aca="false">D28*100</f>
        <v>98.2458</v>
      </c>
      <c r="O30" s="8" t="n">
        <f aca="false">E28*100</f>
        <v>83.8223</v>
      </c>
      <c r="P30" s="8" t="n">
        <f aca="false">B39*100</f>
        <v>93.2418</v>
      </c>
      <c r="Q30" s="8" t="n">
        <f aca="false">C39*100</f>
        <v>89.2346</v>
      </c>
      <c r="R30" s="8" t="n">
        <f aca="false">D39*100</f>
        <v>98.3836</v>
      </c>
      <c r="S30" s="8" t="n">
        <f aca="false">E39*100</f>
        <v>93.5787</v>
      </c>
      <c r="T30" s="8" t="n">
        <f aca="false">(P30-L30)/L30*100</f>
        <v>15.0754010714987</v>
      </c>
      <c r="U30" s="8" t="n">
        <f aca="false">(Q30-M30)/M30*100</f>
        <v>22.0689504225614</v>
      </c>
      <c r="V30" s="18" t="n">
        <f aca="false">(R30-N30)/N30*100</f>
        <v>0.14026044879272</v>
      </c>
      <c r="W30" s="8" t="n">
        <f aca="false">(S30-O30)/O30*100</f>
        <v>11.639384746064</v>
      </c>
    </row>
    <row r="31" customFormat="false" ht="17.15" hidden="false" customHeight="true" outlineLevel="0" collapsed="false">
      <c r="A31" s="7" t="s">
        <v>17</v>
      </c>
      <c r="B31" s="7" t="n">
        <v>0.58989</v>
      </c>
      <c r="C31" s="3" t="n">
        <v>0.670039</v>
      </c>
      <c r="D31" s="3" t="n">
        <v>0.356632</v>
      </c>
      <c r="E31" s="3" t="n">
        <v>0.465118</v>
      </c>
      <c r="F31" s="7" t="n">
        <v>0.538691</v>
      </c>
      <c r="G31" s="3" t="n">
        <v>0.68012</v>
      </c>
      <c r="H31" s="3" t="n">
        <v>0.192333</v>
      </c>
      <c r="I31" s="3" t="n">
        <v>0.286632</v>
      </c>
      <c r="K31" s="3" t="s">
        <v>15</v>
      </c>
      <c r="L31" s="8" t="n">
        <f aca="false">B29*100</f>
        <v>72.9186</v>
      </c>
      <c r="M31" s="8" t="n">
        <f aca="false">C29*100</f>
        <v>80.4418</v>
      </c>
      <c r="N31" s="8" t="n">
        <f aca="false">D29*100</f>
        <v>60.3544</v>
      </c>
      <c r="O31" s="8" t="n">
        <f aca="false">E29*100</f>
        <v>68.8427</v>
      </c>
      <c r="P31" s="8" t="n">
        <f aca="false">B40*100</f>
        <v>87.0888</v>
      </c>
      <c r="Q31" s="8" t="n">
        <f aca="false">C40*100</f>
        <v>86.436</v>
      </c>
      <c r="R31" s="8" t="n">
        <f aca="false">D40*100</f>
        <v>87.9838</v>
      </c>
      <c r="S31" s="8" t="n">
        <f aca="false">E40*100</f>
        <v>87.1908</v>
      </c>
      <c r="T31" s="8" t="n">
        <f aca="false">(P31-L31)/L31*100</f>
        <v>19.4329018933441</v>
      </c>
      <c r="U31" s="8" t="n">
        <f aca="false">(Q31-M31)/M31*100</f>
        <v>7.45159854702407</v>
      </c>
      <c r="V31" s="8" t="n">
        <f aca="false">(R31-N31)/N31*100</f>
        <v>45.7786010630542</v>
      </c>
      <c r="W31" s="8" t="n">
        <f aca="false">(S31-O31)/O31*100</f>
        <v>26.6522085856598</v>
      </c>
    </row>
    <row r="32" customFormat="false" ht="12.8" hidden="false" customHeight="false" outlineLevel="0" collapsed="false">
      <c r="A32" s="7" t="s">
        <v>18</v>
      </c>
      <c r="B32" s="7" t="n">
        <v>0.499048</v>
      </c>
      <c r="C32" s="3" t="n">
        <v>0.777177</v>
      </c>
      <c r="D32" s="3" t="n">
        <v>0.010174</v>
      </c>
      <c r="E32" s="3" t="n">
        <v>0.019912</v>
      </c>
      <c r="F32" s="7" t="n">
        <v>0.925095</v>
      </c>
      <c r="G32" s="3" t="n">
        <v>0.969989</v>
      </c>
      <c r="H32" s="3" t="n">
        <v>0.875556</v>
      </c>
      <c r="I32" s="3" t="n">
        <v>0.878601</v>
      </c>
      <c r="K32" s="3" t="s">
        <v>16</v>
      </c>
      <c r="L32" s="8" t="n">
        <f aca="false">B30*100</f>
        <v>57.2401</v>
      </c>
      <c r="M32" s="8" t="n">
        <f aca="false">C30*100</f>
        <v>58.4414</v>
      </c>
      <c r="N32" s="8" t="n">
        <f aca="false">D30*100</f>
        <v>50.1338</v>
      </c>
      <c r="O32" s="8" t="n">
        <f aca="false">E30*100</f>
        <v>53.969</v>
      </c>
      <c r="P32" s="8" t="n">
        <f aca="false">B41*100</f>
        <v>93.2097</v>
      </c>
      <c r="Q32" s="8" t="n">
        <f aca="false">C41*100</f>
        <v>92.4445</v>
      </c>
      <c r="R32" s="8" t="n">
        <f aca="false">D41*100</f>
        <v>94.1099</v>
      </c>
      <c r="S32" s="8" t="n">
        <f aca="false">E41*100</f>
        <v>93.1201</v>
      </c>
      <c r="T32" s="8" t="n">
        <f aca="false">(P32-L32)/L32*100</f>
        <v>62.8398622643916</v>
      </c>
      <c r="U32" s="8" t="n">
        <f aca="false">(Q32-M32)/M32*100</f>
        <v>58.1832399634506</v>
      </c>
      <c r="V32" s="8" t="n">
        <f aca="false">(R32-N32)/N32*100</f>
        <v>87.7174680554835</v>
      </c>
      <c r="W32" s="8" t="n">
        <f aca="false">(S32-O32)/O32*100</f>
        <v>72.5436824843892</v>
      </c>
    </row>
    <row r="33" customFormat="false" ht="12.8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K33" s="3" t="s">
        <v>17</v>
      </c>
      <c r="L33" s="8" t="n">
        <f aca="false">B31*100</f>
        <v>58.989</v>
      </c>
      <c r="M33" s="8" t="n">
        <f aca="false">C31*100</f>
        <v>67.0039</v>
      </c>
      <c r="N33" s="8" t="n">
        <f aca="false">D31*100</f>
        <v>35.6632</v>
      </c>
      <c r="O33" s="8" t="n">
        <f aca="false">E31*100</f>
        <v>46.5118</v>
      </c>
      <c r="P33" s="8" t="n">
        <f aca="false">B42*100</f>
        <v>82.5056</v>
      </c>
      <c r="Q33" s="8" t="n">
        <f aca="false">C42*100</f>
        <v>83.4067</v>
      </c>
      <c r="R33" s="8" t="n">
        <f aca="false">D42*100</f>
        <v>81.1565</v>
      </c>
      <c r="S33" s="8" t="n">
        <f aca="false">E42*100</f>
        <v>82.2598</v>
      </c>
      <c r="T33" s="8" t="n">
        <f aca="false">(P33-L33)/L33*100</f>
        <v>39.8660767261693</v>
      </c>
      <c r="U33" s="8" t="n">
        <f aca="false">(Q33-M33)/M33*100</f>
        <v>24.4803660682438</v>
      </c>
      <c r="V33" s="8" t="n">
        <f aca="false">(R33-N33)/N33*100</f>
        <v>127.563707126674</v>
      </c>
      <c r="W33" s="8" t="n">
        <f aca="false">(S33-O33)/O33*100</f>
        <v>76.8579156257122</v>
      </c>
    </row>
    <row r="34" customFormat="false" ht="12.8" hidden="false" customHeight="false" outlineLevel="0" collapsed="false">
      <c r="A34" s="14" t="s">
        <v>24</v>
      </c>
      <c r="B34" s="14"/>
      <c r="C34" s="14"/>
      <c r="D34" s="14"/>
      <c r="E34" s="14"/>
      <c r="F34" s="14"/>
      <c r="G34" s="14"/>
      <c r="H34" s="14"/>
      <c r="I34" s="14"/>
      <c r="K34" s="3" t="s">
        <v>18</v>
      </c>
      <c r="L34" s="8" t="n">
        <f aca="false">B32*100</f>
        <v>49.9048</v>
      </c>
      <c r="M34" s="8" t="n">
        <f aca="false">C32*100</f>
        <v>77.7177</v>
      </c>
      <c r="N34" s="8" t="n">
        <f aca="false">D32*100</f>
        <v>1.0174</v>
      </c>
      <c r="O34" s="8" t="n">
        <f aca="false">E32*100</f>
        <v>1.9912</v>
      </c>
      <c r="P34" s="8" t="n">
        <f aca="false">B43*100</f>
        <v>99.0479</v>
      </c>
      <c r="Q34" s="8" t="n">
        <f aca="false">C43*100</f>
        <v>99.8623</v>
      </c>
      <c r="R34" s="8" t="n">
        <f aca="false">D43*100</f>
        <v>98.2313</v>
      </c>
      <c r="S34" s="8" t="n">
        <f aca="false">E43*100</f>
        <v>99.0401</v>
      </c>
      <c r="T34" s="8" t="n">
        <f aca="false">(P34-L34)/L34*100</f>
        <v>98.4736939132108</v>
      </c>
      <c r="U34" s="8" t="n">
        <f aca="false">(Q34-M34)/M34*100</f>
        <v>28.4936378714244</v>
      </c>
      <c r="V34" s="8" t="n">
        <f aca="false">(R34-N34)/N34*100</f>
        <v>9555.13072537842</v>
      </c>
      <c r="W34" s="8" t="n">
        <f aca="false">(S34-O34)/O34*100</f>
        <v>4873.89011651266</v>
      </c>
    </row>
    <row r="35" customFormat="false" ht="12.8" hidden="false" customHeight="false" outlineLevel="0" collapsed="false">
      <c r="A35" s="7"/>
      <c r="B35" s="16" t="s">
        <v>2</v>
      </c>
      <c r="C35" s="16"/>
      <c r="D35" s="16"/>
      <c r="E35" s="16"/>
      <c r="F35" s="16" t="s">
        <v>3</v>
      </c>
      <c r="G35" s="16"/>
      <c r="H35" s="16"/>
      <c r="I35" s="16"/>
      <c r="K35" s="13" t="s">
        <v>19</v>
      </c>
      <c r="L35" s="8" t="n">
        <f aca="false">AVERAGE(L28:L34)</f>
        <v>61.9682142857143</v>
      </c>
      <c r="M35" s="8" t="n">
        <f aca="false">AVERAGE(M28:M34)</f>
        <v>70.6270714285714</v>
      </c>
      <c r="N35" s="8" t="n">
        <f aca="false">AVERAGE(N28:N34)</f>
        <v>42.6225428571429</v>
      </c>
      <c r="O35" s="8" t="n">
        <f aca="false">AVERAGE(O28:O34)</f>
        <v>45.1767428571429</v>
      </c>
      <c r="P35" s="8" t="n">
        <f aca="false">AVERAGE(P28:P34)</f>
        <v>88.6472285714286</v>
      </c>
      <c r="Q35" s="8" t="n">
        <f aca="false">AVERAGE(Q28:Q34)</f>
        <v>91.1890857142857</v>
      </c>
      <c r="R35" s="8" t="n">
        <f aca="false">AVERAGE(R28:R34)</f>
        <v>85.9274571428572</v>
      </c>
      <c r="S35" s="8" t="n">
        <f aca="false">AVERAGE(S28:S34)</f>
        <v>87.6589428571429</v>
      </c>
      <c r="T35" s="8" t="n">
        <f aca="false">AVERAGE(T28:T34)</f>
        <v>46.9411104051177</v>
      </c>
      <c r="U35" s="8" t="n">
        <f aca="false">AVERAGE(U28:U34)</f>
        <v>30.3180755313775</v>
      </c>
      <c r="V35" s="8" t="n">
        <f aca="false">AVERAGE(V28:V34)</f>
        <v>1953.98360987481</v>
      </c>
      <c r="W35" s="8" t="n">
        <f aca="false">AVERAGE(W28:W34)</f>
        <v>1064.85261710268</v>
      </c>
    </row>
    <row r="36" customFormat="false" ht="12.8" hidden="false" customHeight="false" outlineLevel="0" collapsed="false">
      <c r="A36" s="7"/>
      <c r="B36" s="7" t="s">
        <v>8</v>
      </c>
      <c r="C36" s="7" t="s">
        <v>9</v>
      </c>
      <c r="D36" s="7" t="s">
        <v>10</v>
      </c>
      <c r="E36" s="7" t="s">
        <v>11</v>
      </c>
      <c r="F36" s="7" t="s">
        <v>8</v>
      </c>
      <c r="G36" s="7" t="s">
        <v>9</v>
      </c>
      <c r="H36" s="7" t="s">
        <v>10</v>
      </c>
      <c r="I36" s="7" t="s">
        <v>11</v>
      </c>
    </row>
    <row r="37" customFormat="false" ht="12.8" hidden="false" customHeight="false" outlineLevel="0" collapsed="false">
      <c r="A37" s="7" t="s">
        <v>12</v>
      </c>
      <c r="B37" s="7" t="n">
        <v>0.778824</v>
      </c>
      <c r="C37" s="3" t="n">
        <v>0.953898</v>
      </c>
      <c r="D37" s="3" t="n">
        <v>0.587964</v>
      </c>
      <c r="E37" s="3" t="n">
        <v>0.718547</v>
      </c>
      <c r="F37" s="3" t="n">
        <v>0.755785</v>
      </c>
      <c r="G37" s="3" t="n">
        <v>0.89023</v>
      </c>
      <c r="H37" s="3" t="n">
        <v>0.583897</v>
      </c>
      <c r="I37" s="3" t="n">
        <v>0.694192</v>
      </c>
      <c r="K37" s="2" t="s">
        <v>25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2.8" hidden="false" customHeight="false" outlineLevel="0" collapsed="false">
      <c r="A38" s="7" t="s">
        <v>13</v>
      </c>
      <c r="B38" s="7" t="n">
        <v>0.875544</v>
      </c>
      <c r="C38" s="3" t="n">
        <v>0.915497</v>
      </c>
      <c r="D38" s="3" t="n">
        <v>0.828307</v>
      </c>
      <c r="E38" s="3" t="n">
        <v>0.865684</v>
      </c>
      <c r="F38" s="3" t="n">
        <v>0.793153</v>
      </c>
      <c r="G38" s="3" t="n">
        <v>0.820476</v>
      </c>
      <c r="H38" s="3" t="n">
        <v>0.758038</v>
      </c>
      <c r="I38" s="3" t="n">
        <v>0.785546</v>
      </c>
      <c r="K38" s="2" t="s">
        <v>4</v>
      </c>
      <c r="L38" s="17" t="s">
        <v>5</v>
      </c>
      <c r="M38" s="17"/>
      <c r="N38" s="17"/>
      <c r="O38" s="17"/>
      <c r="P38" s="5" t="s">
        <v>6</v>
      </c>
      <c r="Q38" s="5"/>
      <c r="R38" s="5"/>
      <c r="S38" s="5"/>
      <c r="T38" s="5" t="s">
        <v>7</v>
      </c>
      <c r="U38" s="5"/>
      <c r="V38" s="5"/>
      <c r="W38" s="5"/>
    </row>
    <row r="39" customFormat="false" ht="12.8" hidden="false" customHeight="false" outlineLevel="0" collapsed="false">
      <c r="A39" s="7" t="s">
        <v>14</v>
      </c>
      <c r="B39" s="7" t="n">
        <v>0.932418</v>
      </c>
      <c r="C39" s="3" t="n">
        <v>0.892346</v>
      </c>
      <c r="D39" s="3" t="n">
        <v>0.983836</v>
      </c>
      <c r="E39" s="3" t="n">
        <v>0.935787</v>
      </c>
      <c r="F39" s="3" t="n">
        <v>0.903484</v>
      </c>
      <c r="G39" s="3" t="n">
        <v>0.842268</v>
      </c>
      <c r="H39" s="3" t="n">
        <v>0.996561</v>
      </c>
      <c r="I39" s="3" t="n">
        <v>0.912395</v>
      </c>
      <c r="K39" s="2"/>
      <c r="L39" s="3" t="s">
        <v>8</v>
      </c>
      <c r="M39" s="3" t="s">
        <v>9</v>
      </c>
      <c r="N39" s="3" t="s">
        <v>10</v>
      </c>
      <c r="O39" s="3" t="s">
        <v>11</v>
      </c>
      <c r="P39" s="3" t="s">
        <v>8</v>
      </c>
      <c r="Q39" s="3" t="s">
        <v>9</v>
      </c>
      <c r="R39" s="3" t="s">
        <v>10</v>
      </c>
      <c r="S39" s="3" t="s">
        <v>11</v>
      </c>
      <c r="T39" s="3" t="s">
        <v>8</v>
      </c>
      <c r="U39" s="3" t="s">
        <v>9</v>
      </c>
      <c r="V39" s="3" t="s">
        <v>10</v>
      </c>
      <c r="W39" s="3" t="s">
        <v>11</v>
      </c>
    </row>
    <row r="40" customFormat="false" ht="12.8" hidden="false" customHeight="false" outlineLevel="0" collapsed="false">
      <c r="A40" s="7" t="s">
        <v>15</v>
      </c>
      <c r="B40" s="7" t="n">
        <v>0.870888</v>
      </c>
      <c r="C40" s="3" t="n">
        <v>0.86436</v>
      </c>
      <c r="D40" s="3" t="n">
        <v>0.879838</v>
      </c>
      <c r="E40" s="3" t="n">
        <v>0.871908</v>
      </c>
      <c r="F40" s="3" t="n">
        <v>0.77467</v>
      </c>
      <c r="G40" s="3" t="n">
        <v>0.834417</v>
      </c>
      <c r="H40" s="3" t="n">
        <v>0.697317</v>
      </c>
      <c r="I40" s="3" t="n">
        <v>0.751814</v>
      </c>
      <c r="K40" s="3" t="s">
        <v>12</v>
      </c>
      <c r="L40" s="8" t="n">
        <f aca="false">F26*100</f>
        <v>48.9953</v>
      </c>
      <c r="M40" s="8" t="n">
        <f aca="false">G26*100</f>
        <v>44.8195</v>
      </c>
      <c r="N40" s="8" t="n">
        <f aca="false">H26*100</f>
        <v>4.9378</v>
      </c>
      <c r="O40" s="8" t="n">
        <f aca="false">I26*100</f>
        <v>8.499</v>
      </c>
      <c r="P40" s="8" t="n">
        <f aca="false">F37*100</f>
        <v>75.5785</v>
      </c>
      <c r="Q40" s="8" t="n">
        <f aca="false">G37*100</f>
        <v>89.023</v>
      </c>
      <c r="R40" s="8" t="n">
        <f aca="false">H37*100</f>
        <v>58.3897</v>
      </c>
      <c r="S40" s="8" t="n">
        <f aca="false">I37*100</f>
        <v>69.4192</v>
      </c>
      <c r="T40" s="8" t="n">
        <f aca="false">(P40-L40)/L40*100</f>
        <v>54.2566327790625</v>
      </c>
      <c r="U40" s="8" t="n">
        <f aca="false">(Q40-M40)/M40*100</f>
        <v>98.625598232912</v>
      </c>
      <c r="V40" s="8" t="n">
        <f aca="false">(R40-N40)/N40*100</f>
        <v>1082.50435416582</v>
      </c>
      <c r="W40" s="8" t="n">
        <f aca="false">(S40-O40)/O40*100</f>
        <v>716.792563831039</v>
      </c>
    </row>
    <row r="41" customFormat="false" ht="12.8" hidden="false" customHeight="false" outlineLevel="0" collapsed="false">
      <c r="A41" s="7" t="s">
        <v>16</v>
      </c>
      <c r="B41" s="7" t="n">
        <v>0.932097</v>
      </c>
      <c r="C41" s="3" t="n">
        <v>0.924445</v>
      </c>
      <c r="D41" s="3" t="n">
        <v>0.941099</v>
      </c>
      <c r="E41" s="3" t="n">
        <v>0.931201</v>
      </c>
      <c r="F41" s="3" t="n">
        <v>0.798404</v>
      </c>
      <c r="G41" s="3" t="n">
        <v>0.885476</v>
      </c>
      <c r="H41" s="3" t="n">
        <v>0.676779</v>
      </c>
      <c r="I41" s="3" t="n">
        <v>0.712074</v>
      </c>
      <c r="K41" s="3" t="s">
        <v>13</v>
      </c>
      <c r="L41" s="8" t="n">
        <f aca="false">F27*100</f>
        <v>61.274</v>
      </c>
      <c r="M41" s="8" t="n">
        <f aca="false">G27*100</f>
        <v>66.2259</v>
      </c>
      <c r="N41" s="8" t="n">
        <f aca="false">H27*100</f>
        <v>51.993</v>
      </c>
      <c r="O41" s="8" t="n">
        <f aca="false">I27*100</f>
        <v>57.5969</v>
      </c>
      <c r="P41" s="8" t="n">
        <f aca="false">F38*100</f>
        <v>79.3153</v>
      </c>
      <c r="Q41" s="8" t="n">
        <f aca="false">G38*100</f>
        <v>82.0476</v>
      </c>
      <c r="R41" s="8" t="n">
        <f aca="false">H38*100</f>
        <v>75.8038</v>
      </c>
      <c r="S41" s="8" t="n">
        <f aca="false">I38*100</f>
        <v>78.5546</v>
      </c>
      <c r="T41" s="8" t="n">
        <f aca="false">(P41-L41)/L41*100</f>
        <v>29.4436465711395</v>
      </c>
      <c r="U41" s="8" t="n">
        <f aca="false">(Q41-M41)/M41*100</f>
        <v>23.8905020543322</v>
      </c>
      <c r="V41" s="8" t="n">
        <f aca="false">(R41-N41)/N41*100</f>
        <v>45.7961648683477</v>
      </c>
      <c r="W41" s="8" t="n">
        <f aca="false">(S41-O41)/O41*100</f>
        <v>36.386854153609</v>
      </c>
    </row>
    <row r="42" customFormat="false" ht="12.8" hidden="false" customHeight="false" outlineLevel="0" collapsed="false">
      <c r="A42" s="7" t="s">
        <v>17</v>
      </c>
      <c r="B42" s="7" t="n">
        <v>0.825056</v>
      </c>
      <c r="C42" s="3" t="n">
        <v>0.834067</v>
      </c>
      <c r="D42" s="3" t="n">
        <v>0.811565</v>
      </c>
      <c r="E42" s="3" t="n">
        <v>0.822598</v>
      </c>
      <c r="F42" s="3" t="n">
        <v>0.725097</v>
      </c>
      <c r="G42" s="3" t="n">
        <v>0.820624</v>
      </c>
      <c r="H42" s="3" t="n">
        <v>0.549848</v>
      </c>
      <c r="I42" s="3" t="n">
        <v>0.650719</v>
      </c>
      <c r="K42" s="3" t="s">
        <v>14</v>
      </c>
      <c r="L42" s="8" t="n">
        <f aca="false">F28*100</f>
        <v>80.3408</v>
      </c>
      <c r="M42" s="8" t="n">
        <f aca="false">G28*100</f>
        <v>72.2743</v>
      </c>
      <c r="N42" s="8" t="n">
        <f aca="false">H28*100</f>
        <v>98.7794</v>
      </c>
      <c r="O42" s="8" t="n">
        <f aca="false">I28*100</f>
        <v>83.4313</v>
      </c>
      <c r="P42" s="8" t="n">
        <f aca="false">F39*100</f>
        <v>90.3484</v>
      </c>
      <c r="Q42" s="8" t="n">
        <f aca="false">G39*100</f>
        <v>84.2268</v>
      </c>
      <c r="R42" s="8" t="n">
        <f aca="false">H39*100</f>
        <v>99.6561</v>
      </c>
      <c r="S42" s="8" t="n">
        <f aca="false">I39*100</f>
        <v>91.2395</v>
      </c>
      <c r="T42" s="8" t="n">
        <f aca="false">(P42-L42)/L42*100</f>
        <v>12.4564355844104</v>
      </c>
      <c r="U42" s="8" t="n">
        <f aca="false">(Q42-M42)/M42*100</f>
        <v>16.5376904376798</v>
      </c>
      <c r="V42" s="8" t="n">
        <f aca="false">(R42-N42)/N42*100</f>
        <v>0.887533230612875</v>
      </c>
      <c r="W42" s="8" t="n">
        <f aca="false">(S42-O42)/O42*100</f>
        <v>9.3588377503407</v>
      </c>
    </row>
    <row r="43" customFormat="false" ht="12.8" hidden="false" customHeight="false" outlineLevel="0" collapsed="false">
      <c r="A43" s="7" t="s">
        <v>18</v>
      </c>
      <c r="B43" s="7" t="n">
        <v>0.990479</v>
      </c>
      <c r="C43" s="3" t="n">
        <v>0.998623</v>
      </c>
      <c r="D43" s="3" t="n">
        <v>0.982313</v>
      </c>
      <c r="E43" s="3" t="n">
        <v>0.990401</v>
      </c>
      <c r="F43" s="3" t="n">
        <v>0.991601</v>
      </c>
      <c r="G43" s="3" t="n">
        <v>0.98951</v>
      </c>
      <c r="H43" s="3" t="n">
        <v>0.993979</v>
      </c>
      <c r="I43" s="3" t="n">
        <v>0.991675</v>
      </c>
      <c r="K43" s="3" t="s">
        <v>15</v>
      </c>
      <c r="L43" s="8" t="n">
        <f aca="false">F29*100</f>
        <v>58.3024</v>
      </c>
      <c r="M43" s="8" t="n">
        <f aca="false">G29*100</f>
        <v>69.8766</v>
      </c>
      <c r="N43" s="8" t="n">
        <f aca="false">H29*100</f>
        <v>39.1263</v>
      </c>
      <c r="O43" s="8" t="n">
        <f aca="false">I29*100</f>
        <v>47.8077</v>
      </c>
      <c r="P43" s="8" t="n">
        <f aca="false">F40*100</f>
        <v>77.467</v>
      </c>
      <c r="Q43" s="8" t="n">
        <f aca="false">G40*100</f>
        <v>83.4417</v>
      </c>
      <c r="R43" s="8" t="n">
        <f aca="false">H40*100</f>
        <v>69.7317</v>
      </c>
      <c r="S43" s="8" t="n">
        <f aca="false">I40*100</f>
        <v>75.1814</v>
      </c>
      <c r="T43" s="8" t="n">
        <f aca="false">(P43-L43)/L43*100</f>
        <v>32.8710310381734</v>
      </c>
      <c r="U43" s="8" t="n">
        <f aca="false">(Q43-M43)/M43*100</f>
        <v>19.4129365195216</v>
      </c>
      <c r="V43" s="8" t="n">
        <f aca="false">(R43-N43)/N43*100</f>
        <v>78.2220654649174</v>
      </c>
      <c r="W43" s="8" t="n">
        <f aca="false">(S43-O43)/O43*100</f>
        <v>57.257931253752</v>
      </c>
    </row>
    <row r="44" customFormat="false" ht="12.8" hidden="false" customHeight="false" outlineLevel="0" collapsed="false">
      <c r="K44" s="3" t="s">
        <v>16</v>
      </c>
      <c r="L44" s="8" t="n">
        <f aca="false">F30*100</f>
        <v>43.2887</v>
      </c>
      <c r="M44" s="8" t="n">
        <f aca="false">G30*100</f>
        <v>38.6362</v>
      </c>
      <c r="N44" s="8" t="n">
        <f aca="false">H30*100</f>
        <v>10.1187</v>
      </c>
      <c r="O44" s="8" t="n">
        <f aca="false">I30*100</f>
        <v>11.4562</v>
      </c>
      <c r="P44" s="8" t="n">
        <f aca="false">F41*100</f>
        <v>79.8404</v>
      </c>
      <c r="Q44" s="8" t="n">
        <f aca="false">G41*100</f>
        <v>88.5476</v>
      </c>
      <c r="R44" s="8" t="n">
        <f aca="false">H41*100</f>
        <v>67.6779</v>
      </c>
      <c r="S44" s="8" t="n">
        <f aca="false">I41*100</f>
        <v>71.2074</v>
      </c>
      <c r="T44" s="8" t="n">
        <f aca="false">(P44-L44)/L44*100</f>
        <v>84.4370470815709</v>
      </c>
      <c r="U44" s="8" t="n">
        <f aca="false">(Q44-M44)/M44*100</f>
        <v>129.182994186799</v>
      </c>
      <c r="V44" s="8" t="n">
        <f aca="false">(R44-N44)/N44*100</f>
        <v>568.839870734383</v>
      </c>
      <c r="W44" s="8" t="n">
        <f aca="false">(S44-O44)/O44*100</f>
        <v>521.562123566279</v>
      </c>
    </row>
    <row r="45" customFormat="false" ht="12.8" hidden="false" customHeight="false" outlineLevel="0" collapsed="false">
      <c r="K45" s="3" t="s">
        <v>17</v>
      </c>
      <c r="L45" s="8" t="n">
        <f aca="false">F31*100</f>
        <v>53.8691</v>
      </c>
      <c r="M45" s="8" t="n">
        <f aca="false">G31*100</f>
        <v>68.012</v>
      </c>
      <c r="N45" s="8" t="n">
        <f aca="false">H31*100</f>
        <v>19.2333</v>
      </c>
      <c r="O45" s="8" t="n">
        <f aca="false">I31*100</f>
        <v>28.6632</v>
      </c>
      <c r="P45" s="8" t="n">
        <f aca="false">F42*100</f>
        <v>72.5097</v>
      </c>
      <c r="Q45" s="8" t="n">
        <f aca="false">G42*100</f>
        <v>82.0624</v>
      </c>
      <c r="R45" s="8" t="n">
        <f aca="false">H42*100</f>
        <v>54.9848</v>
      </c>
      <c r="S45" s="8" t="n">
        <f aca="false">I42*100</f>
        <v>65.0719</v>
      </c>
      <c r="T45" s="8" t="n">
        <f aca="false">(P45-L45)/L45*100</f>
        <v>34.6035111037682</v>
      </c>
      <c r="U45" s="8" t="n">
        <f aca="false">(Q45-M45)/M45*100</f>
        <v>20.6587072869494</v>
      </c>
      <c r="V45" s="8" t="n">
        <f aca="false">(R45-N45)/N45*100</f>
        <v>185.883337752752</v>
      </c>
      <c r="W45" s="8" t="n">
        <f aca="false">(S45-O45)/O45*100</f>
        <v>127.022453878143</v>
      </c>
    </row>
    <row r="46" customFormat="false" ht="12.8" hidden="false" customHeight="false" outlineLevel="0" collapsed="false">
      <c r="K46" s="3" t="s">
        <v>18</v>
      </c>
      <c r="L46" s="8" t="n">
        <f aca="false">F32*100</f>
        <v>92.5095</v>
      </c>
      <c r="M46" s="8" t="n">
        <f aca="false">G32*100</f>
        <v>96.9989</v>
      </c>
      <c r="N46" s="8" t="n">
        <f aca="false">H32*100</f>
        <v>87.5556</v>
      </c>
      <c r="O46" s="8" t="n">
        <f aca="false">I32*100</f>
        <v>87.8601</v>
      </c>
      <c r="P46" s="8" t="n">
        <f aca="false">F43*100</f>
        <v>99.1601</v>
      </c>
      <c r="Q46" s="8" t="n">
        <f aca="false">G43*100</f>
        <v>98.951</v>
      </c>
      <c r="R46" s="8" t="n">
        <f aca="false">H43*100</f>
        <v>99.3979</v>
      </c>
      <c r="S46" s="8" t="n">
        <f aca="false">I43*100</f>
        <v>99.1675</v>
      </c>
      <c r="T46" s="8" t="n">
        <f aca="false">(P46-L46)/L46*100</f>
        <v>7.1890994978894</v>
      </c>
      <c r="U46" s="8" t="n">
        <f aca="false">(Q46-M46)/M46*100</f>
        <v>2.01249704893561</v>
      </c>
      <c r="V46" s="8" t="n">
        <f aca="false">(R46-N46)/N46*100</f>
        <v>13.5254626774301</v>
      </c>
      <c r="W46" s="8" t="n">
        <f aca="false">(S46-O46)/O46*100</f>
        <v>12.8697782042133</v>
      </c>
    </row>
    <row r="47" customFormat="false" ht="12.8" hidden="false" customHeight="false" outlineLevel="0" collapsed="false">
      <c r="K47" s="13" t="s">
        <v>19</v>
      </c>
      <c r="L47" s="8" t="n">
        <f aca="false">AVERAGE(L40:L46)</f>
        <v>62.6542571428571</v>
      </c>
      <c r="M47" s="8" t="n">
        <f aca="false">AVERAGE(M40:M46)</f>
        <v>65.2633428571429</v>
      </c>
      <c r="N47" s="8" t="n">
        <f aca="false">AVERAGE(N40:N46)</f>
        <v>44.5348714285714</v>
      </c>
      <c r="O47" s="8" t="n">
        <f aca="false">AVERAGE(O40:O46)</f>
        <v>46.4734857142857</v>
      </c>
      <c r="P47" s="8" t="n">
        <f aca="false">AVERAGE(P40:P46)</f>
        <v>82.0313428571429</v>
      </c>
      <c r="Q47" s="8" t="n">
        <f aca="false">AVERAGE(Q40:Q46)</f>
        <v>86.9000142857143</v>
      </c>
      <c r="R47" s="8" t="n">
        <f aca="false">AVERAGE(R40:R46)</f>
        <v>75.0917</v>
      </c>
      <c r="S47" s="8" t="n">
        <f aca="false">AVERAGE(S40:S46)</f>
        <v>78.5487857142857</v>
      </c>
      <c r="T47" s="8" t="n">
        <f aca="false">AVERAGE(T40:T46)</f>
        <v>36.4653433794306</v>
      </c>
      <c r="U47" s="8" t="n">
        <f aca="false">AVERAGE(U40:U46)</f>
        <v>44.3315608238756</v>
      </c>
      <c r="V47" s="8" t="n">
        <f aca="false">AVERAGE(V40:V46)</f>
        <v>282.236969842038</v>
      </c>
      <c r="W47" s="8" t="n">
        <f aca="false">AVERAGE(W40:W46)</f>
        <v>211.607220376768</v>
      </c>
    </row>
  </sheetData>
  <mergeCells count="32">
    <mergeCell ref="A1:I1"/>
    <mergeCell ref="K1:W1"/>
    <mergeCell ref="B2:E2"/>
    <mergeCell ref="F2:I2"/>
    <mergeCell ref="K2:K3"/>
    <mergeCell ref="L2:O2"/>
    <mergeCell ref="P2:S2"/>
    <mergeCell ref="T2:W2"/>
    <mergeCell ref="A12:I12"/>
    <mergeCell ref="B13:E13"/>
    <mergeCell ref="F13:I13"/>
    <mergeCell ref="K13:W13"/>
    <mergeCell ref="K14:K15"/>
    <mergeCell ref="L14:O14"/>
    <mergeCell ref="P14:S14"/>
    <mergeCell ref="T14:W14"/>
    <mergeCell ref="A23:I23"/>
    <mergeCell ref="B24:E24"/>
    <mergeCell ref="F24:I24"/>
    <mergeCell ref="K25:W25"/>
    <mergeCell ref="K26:K27"/>
    <mergeCell ref="L26:O26"/>
    <mergeCell ref="P26:S26"/>
    <mergeCell ref="T26:W26"/>
    <mergeCell ref="A34:I34"/>
    <mergeCell ref="B35:E35"/>
    <mergeCell ref="F35:I35"/>
    <mergeCell ref="K37:W37"/>
    <mergeCell ref="K38:K39"/>
    <mergeCell ref="L38:O38"/>
    <mergeCell ref="P38:S38"/>
    <mergeCell ref="T38:W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17"/>
    <col collapsed="false" customWidth="true" hidden="false" outlineLevel="0" max="2" min="2" style="0" width="14.33"/>
    <col collapsed="false" customWidth="true" hidden="false" outlineLevel="0" max="3" min="3" style="0" width="15.99"/>
    <col collapsed="false" customWidth="true" hidden="false" outlineLevel="0" max="4" min="4" style="0" width="20.03"/>
  </cols>
  <sheetData>
    <row r="1" customFormat="false" ht="20.1" hidden="false" customHeight="true" outlineLevel="0" collapsed="false">
      <c r="A1" s="19" t="s">
        <v>26</v>
      </c>
      <c r="B1" s="19"/>
      <c r="C1" s="19"/>
      <c r="D1" s="19"/>
    </row>
    <row r="2" customFormat="false" ht="13.8" hidden="false" customHeight="false" outlineLevel="0" collapsed="false">
      <c r="A2" s="20" t="s">
        <v>4</v>
      </c>
      <c r="B2" s="20" t="s">
        <v>27</v>
      </c>
      <c r="C2" s="20" t="s">
        <v>28</v>
      </c>
      <c r="D2" s="0" t="s">
        <v>29</v>
      </c>
    </row>
    <row r="3" customFormat="false" ht="12.8" hidden="false" customHeight="false" outlineLevel="0" collapsed="false">
      <c r="A3" s="0" t="s">
        <v>18</v>
      </c>
      <c r="B3" s="21" t="n">
        <v>11.47565</v>
      </c>
      <c r="C3" s="21" t="n">
        <v>88.52435</v>
      </c>
      <c r="D3" s="22" t="n">
        <v>37299318</v>
      </c>
    </row>
    <row r="4" customFormat="false" ht="12.8" hidden="false" customHeight="false" outlineLevel="0" collapsed="false">
      <c r="A4" s="0" t="s">
        <v>14</v>
      </c>
      <c r="B4" s="21" t="n">
        <v>18.026676</v>
      </c>
      <c r="C4" s="21" t="n">
        <v>81.973324</v>
      </c>
      <c r="D4" s="22" t="n">
        <v>1246536</v>
      </c>
    </row>
    <row r="5" customFormat="false" ht="12.8" hidden="false" customHeight="false" outlineLevel="0" collapsed="false">
      <c r="A5" s="0" t="s">
        <v>30</v>
      </c>
      <c r="B5" s="21" t="n">
        <v>9.369087</v>
      </c>
      <c r="C5" s="21" t="n">
        <v>90.630913</v>
      </c>
      <c r="D5" s="22" t="n">
        <v>411673</v>
      </c>
    </row>
    <row r="6" customFormat="false" ht="12.8" hidden="false" customHeight="false" outlineLevel="0" collapsed="false">
      <c r="A6" s="0" t="s">
        <v>31</v>
      </c>
      <c r="B6" s="21" t="n">
        <v>4.795098</v>
      </c>
      <c r="C6" s="21" t="n">
        <v>95.204902</v>
      </c>
      <c r="D6" s="22" t="n">
        <v>3486039</v>
      </c>
    </row>
    <row r="7" customFormat="false" ht="12.8" hidden="false" customHeight="false" outlineLevel="0" collapsed="false">
      <c r="A7" s="0" t="s">
        <v>32</v>
      </c>
      <c r="B7" s="21" t="n">
        <v>97.426024</v>
      </c>
      <c r="C7" s="21" t="n">
        <v>2.573976</v>
      </c>
      <c r="D7" s="22" t="n">
        <v>3480335</v>
      </c>
    </row>
    <row r="8" customFormat="false" ht="12.8" hidden="false" customHeight="false" outlineLevel="0" collapsed="false">
      <c r="A8" s="0" t="s">
        <v>33</v>
      </c>
      <c r="B8" s="21" t="n">
        <v>82.838346</v>
      </c>
      <c r="C8" s="21" t="n">
        <v>17.161654</v>
      </c>
      <c r="D8" s="22" t="n">
        <v>16012781</v>
      </c>
    </row>
    <row r="9" customFormat="false" ht="12.8" hidden="false" customHeight="false" outlineLevel="0" collapsed="false">
      <c r="A9" s="0" t="s">
        <v>34</v>
      </c>
      <c r="B9" s="21" t="n">
        <v>50.667303</v>
      </c>
      <c r="C9" s="21" t="n">
        <v>49.332697</v>
      </c>
      <c r="D9" s="22" t="n">
        <v>616362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2025-09-16T19:46:21Z</dcterms:created>
  <dc:creator/>
  <dc:description/>
  <dc:language>en-US</dc:language>
  <cp:lastModifiedBy/>
  <dcterms:modified xsi:type="dcterms:W3CDTF">2025-10-03T21:19:45Z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